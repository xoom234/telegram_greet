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кладные" sheetId="1" state="visible" r:id="rId1"/>
    <sheet name="Остатки" sheetId="2" state="visible" r:id="rId2"/>
    <sheet name="Справочник" sheetId="3" state="visible" r:id="rId3"/>
    <sheet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2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3" fillId="2" borderId="1" pivotButton="0" quotePrefix="0" xfId="0"/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8" customWidth="1" min="4" max="4"/>
    <col width="14" customWidth="1" min="5" max="5"/>
    <col width="12" customWidth="1" min="6" max="6"/>
    <col width="12" customWidth="1" min="7" max="7"/>
    <col width="14" customWidth="1" min="8" max="8"/>
    <col width="26" customWidth="1" min="9" max="9"/>
  </cols>
  <sheetData>
    <row r="1">
      <c r="A1" s="1" t="inlineStr">
        <is>
          <t>Ввод по накладным — заполняйте зелёные ячейки</t>
        </is>
      </c>
    </row>
    <row r="2">
      <c r="A2" s="2" t="inlineStr">
        <is>
          <t>Одна строка = одна позиция из накладной (бренд + вкус). Остатки пересчитаются на листе «Остатки».</t>
        </is>
      </c>
    </row>
    <row r="3" ht="22" customHeight="1">
      <c r="A3" s="3" t="inlineStr">
        <is>
          <t>Дата</t>
        </is>
      </c>
      <c r="B3" s="3" t="inlineStr">
        <is>
          <t>№ накладной</t>
        </is>
      </c>
      <c r="C3" s="3" t="inlineStr">
        <is>
          <t>Бренд</t>
        </is>
      </c>
      <c r="D3" s="3" t="inlineStr">
        <is>
          <t>Вкус</t>
        </is>
      </c>
      <c r="E3" s="3" t="inlineStr">
        <is>
          <t>Вид фасовки</t>
        </is>
      </c>
      <c r="F3" s="3" t="inlineStr">
        <is>
          <t>Количество</t>
        </is>
      </c>
      <c r="G3" s="3" t="inlineStr">
        <is>
          <t>Операция</t>
        </is>
      </c>
      <c r="H3" s="3" t="inlineStr">
        <is>
          <t>Кто внёс</t>
        </is>
      </c>
      <c r="I3" s="3" t="inlineStr">
        <is>
          <t>Комментарий</t>
        </is>
      </c>
    </row>
    <row r="4">
      <c r="A4" s="4" t="inlineStr">
        <is>
          <t>04.10.2026</t>
        </is>
      </c>
      <c r="B4" s="5" t="inlineStr">
        <is>
          <t>Н-001</t>
        </is>
      </c>
      <c r="C4" s="5" t="inlineStr">
        <is>
          <t>Darkside</t>
        </is>
      </c>
      <c r="D4" s="5" t="inlineStr">
        <is>
          <t>Cosmo Flower</t>
        </is>
      </c>
      <c r="E4" s="4" t="inlineStr">
        <is>
          <t>50 г</t>
        </is>
      </c>
      <c r="F4" s="4" t="n">
        <v>10</v>
      </c>
      <c r="G4" s="4" t="inlineStr">
        <is>
          <t>Приход</t>
        </is>
      </c>
      <c r="H4" s="5" t="inlineStr">
        <is>
          <t>Иван</t>
        </is>
      </c>
      <c r="I4" s="5" t="inlineStr">
        <is>
          <t>Поставка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</row>
  </sheetData>
  <mergeCells count="2">
    <mergeCell ref="A1:I1"/>
    <mergeCell ref="A2:I2"/>
  </mergeCells>
  <dataValidations count="4">
    <dataValidation sqref="C5:C204" showDropDown="0" showInputMessage="0" showErrorMessage="0" allowBlank="1" type="list">
      <formula1>=Справочник!$A$9:$A$208</formula1>
    </dataValidation>
    <dataValidation sqref="D5:D204" showDropDown="0" showInputMessage="0" showErrorMessage="0" allowBlank="1" type="list">
      <formula1>=Справочник!$B$9:$B$208</formula1>
    </dataValidation>
    <dataValidation sqref="E5:E204" showDropDown="0" showInputMessage="0" showErrorMessage="0" allowBlank="1" type="list">
      <formula1>=Справочник!$B$4:$B$5</formula1>
    </dataValidation>
    <dataValidation sqref="G5:G204" showDropDown="0" showInputMessage="0" showErrorMessage="0" allowBlank="1" type="list">
      <formula1>"Приход,Расход"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Остатки на складе (автоматически)</t>
        </is>
      </c>
    </row>
    <row r="2">
      <c r="A2" s="2" t="inlineStr">
        <is>
          <t>Если вкус в справочнике пустой — остаток по всему бренду. Если вкус указан — по бренду+вкусу.</t>
        </is>
      </c>
    </row>
    <row r="3">
      <c r="A3" s="3" t="inlineStr">
        <is>
          <t>Бренд</t>
        </is>
      </c>
      <c r="B3" s="3" t="inlineStr">
        <is>
          <t>Вкус</t>
        </is>
      </c>
      <c r="C3" s="3">
        <f>Справочник!B4</f>
        <v/>
      </c>
      <c r="D3" s="3">
        <f>Справочник!B5</f>
        <v/>
      </c>
      <c r="E3" s="3" t="inlineStr">
        <is>
          <t>Итого</t>
        </is>
      </c>
    </row>
    <row r="4">
      <c r="A4" s="7">
        <f>IF(Справочник!A9="","",Справочник!A9)</f>
        <v/>
      </c>
      <c r="B4" s="7">
        <f>IF(Справочник!B9="","",Справочник!B9)</f>
        <v/>
      </c>
      <c r="C4" s="8">
        <f>IF(A4="","",IF(B4="",SUMPRODUCT((Накладные!$C$5:$C$204=A4)*(Накладные!$E$5:$E$204=Справочник!$B$4)*(Накладные!$G$5:$G$204="Приход")*(Накладные!$F$5:$F$204))-SUMPRODUCT((Накладные!$C$5:$C$204=A4)*(Накладные!$E$5:$E$204=Справочник!$B$4)*(Накладные!$G$5:$G$204="Расход")*(Накладные!$F$5:$F$204)),SUMPRODUCT((Накладные!$C$5:$C$204=A4)*(Накладные!$D$5:$D$204=B4)*(Накладные!$E$5:$E$204=Справочник!$B$4)*(Накладные!$G$5:$G$204="Приход")*(Накладные!$F$5:$F$204))-SUMPRODUCT((Накладные!$C$5:$C$204=A4)*(Накладные!$D$5:$D$204=B4)*(Накладные!$E$5:$E$204=Справочник!$B$4)*(Накладные!$G$5:$G$204="Расход")*(Накладные!$F$5:$F$204))))</f>
        <v/>
      </c>
      <c r="D4" s="8">
        <f>IF(A4="","",IF(B4="",SUMPRODUCT((Накладные!$C$5:$C$204=A4)*(Накладные!$E$5:$E$204=Справочник!$B$5)*(Накладные!$G$5:$G$204="Приход")*(Накладные!$F$5:$F$204))-SUMPRODUCT((Накладные!$C$5:$C$204=A4)*(Накладные!$E$5:$E$204=Справочник!$B$5)*(Накладные!$G$5:$G$204="Расход")*(Накладные!$F$5:$F$204)),SUMPRODUCT((Накладные!$C$5:$C$204=A4)*(Накладные!$D$5:$D$204=B4)*(Накладные!$E$5:$E$204=Справочник!$B$5)*(Накладные!$G$5:$G$204="Приход")*(Накладные!$F$5:$F$204))-SUMPRODUCT((Накладные!$C$5:$C$204=A4)*(Накладные!$D$5:$D$204=B4)*(Накладные!$E$5:$E$204=Справочник!$B$5)*(Накладные!$G$5:$G$204="Расход")*(Накладные!$F$5:$F$204))))</f>
        <v/>
      </c>
      <c r="E4" s="8">
        <f>IF(A4="","",C4+D4)</f>
        <v/>
      </c>
    </row>
    <row r="5">
      <c r="A5" s="7">
        <f>IF(Справочник!A10="","",Справочник!A10)</f>
        <v/>
      </c>
      <c r="B5" s="7">
        <f>IF(Справочник!B10="","",Справочник!B10)</f>
        <v/>
      </c>
      <c r="C5" s="8">
        <f>IF(A5="","",IF(B5="",SUMPRODUCT((Накладные!$C$5:$C$204=A5)*(Накладные!$E$5:$E$204=Справочник!$B$4)*(Накладные!$G$5:$G$204="Приход")*(Накладные!$F$5:$F$204))-SUMPRODUCT((Накладные!$C$5:$C$204=A5)*(Накладные!$E$5:$E$204=Справочник!$B$4)*(Накладные!$G$5:$G$204="Расход")*(Накладные!$F$5:$F$204)),SUMPRODUCT((Накладные!$C$5:$C$204=A5)*(Накладные!$D$5:$D$204=B5)*(Накладные!$E$5:$E$204=Справочник!$B$4)*(Накладные!$G$5:$G$204="Приход")*(Накладные!$F$5:$F$204))-SUMPRODUCT((Накладные!$C$5:$C$204=A5)*(Накладные!$D$5:$D$204=B5)*(Накладные!$E$5:$E$204=Справочник!$B$4)*(Накладные!$G$5:$G$204="Расход")*(Накладные!$F$5:$F$204))))</f>
        <v/>
      </c>
      <c r="D5" s="8">
        <f>IF(A5="","",IF(B5="",SUMPRODUCT((Накладные!$C$5:$C$204=A5)*(Накладные!$E$5:$E$204=Справочник!$B$5)*(Накладные!$G$5:$G$204="Приход")*(Накладные!$F$5:$F$204))-SUMPRODUCT((Накладные!$C$5:$C$204=A5)*(Накладные!$E$5:$E$204=Справочник!$B$5)*(Накладные!$G$5:$G$204="Расход")*(Накладные!$F$5:$F$204)),SUMPRODUCT((Накладные!$C$5:$C$204=A5)*(Накладные!$D$5:$D$204=B5)*(Накладные!$E$5:$E$204=Справочник!$B$5)*(Накладные!$G$5:$G$204="Приход")*(Накладные!$F$5:$F$204))-SUMPRODUCT((Накладные!$C$5:$C$204=A5)*(Накладные!$D$5:$D$204=B5)*(Накладные!$E$5:$E$204=Справочник!$B$5)*(Накладные!$G$5:$G$204="Расход")*(Накладные!$F$5:$F$204))))</f>
        <v/>
      </c>
      <c r="E5" s="8">
        <f>IF(A5="","",C5+D5)</f>
        <v/>
      </c>
    </row>
    <row r="6">
      <c r="A6" s="7">
        <f>IF(Справочник!A11="","",Справочник!A11)</f>
        <v/>
      </c>
      <c r="B6" s="7">
        <f>IF(Справочник!B11="","",Справочник!B11)</f>
        <v/>
      </c>
      <c r="C6" s="8">
        <f>IF(A6="","",IF(B6="",SUMPRODUCT((Накладные!$C$5:$C$204=A6)*(Накладные!$E$5:$E$204=Справочник!$B$4)*(Накладные!$G$5:$G$204="Приход")*(Накладные!$F$5:$F$204))-SUMPRODUCT((Накладные!$C$5:$C$204=A6)*(Накладные!$E$5:$E$204=Справочник!$B$4)*(Накладные!$G$5:$G$204="Расход")*(Накладные!$F$5:$F$204)),SUMPRODUCT((Накладные!$C$5:$C$204=A6)*(Накладные!$D$5:$D$204=B6)*(Накладные!$E$5:$E$204=Справочник!$B$4)*(Накладные!$G$5:$G$204="Приход")*(Накладные!$F$5:$F$204))-SUMPRODUCT((Накладные!$C$5:$C$204=A6)*(Накладные!$D$5:$D$204=B6)*(Накладные!$E$5:$E$204=Справочник!$B$4)*(Накладные!$G$5:$G$204="Расход")*(Накладные!$F$5:$F$204))))</f>
        <v/>
      </c>
      <c r="D6" s="8">
        <f>IF(A6="","",IF(B6="",SUMPRODUCT((Накладные!$C$5:$C$204=A6)*(Накладные!$E$5:$E$204=Справочник!$B$5)*(Накладные!$G$5:$G$204="Приход")*(Накладные!$F$5:$F$204))-SUMPRODUCT((Накладные!$C$5:$C$204=A6)*(Накладные!$E$5:$E$204=Справочник!$B$5)*(Накладные!$G$5:$G$204="Расход")*(Накладные!$F$5:$F$204)),SUMPRODUCT((Накладные!$C$5:$C$204=A6)*(Накладные!$D$5:$D$204=B6)*(Накладные!$E$5:$E$204=Справочник!$B$5)*(Накладные!$G$5:$G$204="Приход")*(Накладные!$F$5:$F$204))-SUMPRODUCT((Накладные!$C$5:$C$204=A6)*(Накладные!$D$5:$D$204=B6)*(Накладные!$E$5:$E$204=Справочник!$B$5)*(Накладные!$G$5:$G$204="Расход")*(Накладные!$F$5:$F$204))))</f>
        <v/>
      </c>
      <c r="E6" s="8">
        <f>IF(A6="","",C6+D6)</f>
        <v/>
      </c>
    </row>
    <row r="7">
      <c r="A7" s="7">
        <f>IF(Справочник!A12="","",Справочник!A12)</f>
        <v/>
      </c>
      <c r="B7" s="7">
        <f>IF(Справочник!B12="","",Справочник!B12)</f>
        <v/>
      </c>
      <c r="C7" s="8">
        <f>IF(A7="","",IF(B7="",SUMPRODUCT((Накладные!$C$5:$C$204=A7)*(Накладные!$E$5:$E$204=Справочник!$B$4)*(Накладные!$G$5:$G$204="Приход")*(Накладные!$F$5:$F$204))-SUMPRODUCT((Накладные!$C$5:$C$204=A7)*(Накладные!$E$5:$E$204=Справочник!$B$4)*(Накладные!$G$5:$G$204="Расход")*(Накладные!$F$5:$F$204)),SUMPRODUCT((Накладные!$C$5:$C$204=A7)*(Накладные!$D$5:$D$204=B7)*(Накладные!$E$5:$E$204=Справочник!$B$4)*(Накладные!$G$5:$G$204="Приход")*(Накладные!$F$5:$F$204))-SUMPRODUCT((Накладные!$C$5:$C$204=A7)*(Накладные!$D$5:$D$204=B7)*(Накладные!$E$5:$E$204=Справочник!$B$4)*(Накладные!$G$5:$G$204="Расход")*(Накладные!$F$5:$F$204))))</f>
        <v/>
      </c>
      <c r="D7" s="8">
        <f>IF(A7="","",IF(B7="",SUMPRODUCT((Накладные!$C$5:$C$204=A7)*(Накладные!$E$5:$E$204=Справочник!$B$5)*(Накладные!$G$5:$G$204="Приход")*(Накладные!$F$5:$F$204))-SUMPRODUCT((Накладные!$C$5:$C$204=A7)*(Накладные!$E$5:$E$204=Справочник!$B$5)*(Накладные!$G$5:$G$204="Расход")*(Накладные!$F$5:$F$204)),SUMPRODUCT((Накладные!$C$5:$C$204=A7)*(Накладные!$D$5:$D$204=B7)*(Накладные!$E$5:$E$204=Справочник!$B$5)*(Накладные!$G$5:$G$204="Приход")*(Накладные!$F$5:$F$204))-SUMPRODUCT((Накладные!$C$5:$C$204=A7)*(Накладные!$D$5:$D$204=B7)*(Накладные!$E$5:$E$204=Справочник!$B$5)*(Накладные!$G$5:$G$204="Расход")*(Накладные!$F$5:$F$204))))</f>
        <v/>
      </c>
      <c r="E7" s="8">
        <f>IF(A7="","",C7+D7)</f>
        <v/>
      </c>
    </row>
    <row r="8">
      <c r="A8" s="7">
        <f>IF(Справочник!A13="","",Справочник!A13)</f>
        <v/>
      </c>
      <c r="B8" s="7">
        <f>IF(Справочник!B13="","",Справочник!B13)</f>
        <v/>
      </c>
      <c r="C8" s="8">
        <f>IF(A8="","",IF(B8="",SUMPRODUCT((Накладные!$C$5:$C$204=A8)*(Накладные!$E$5:$E$204=Справочник!$B$4)*(Накладные!$G$5:$G$204="Приход")*(Накладные!$F$5:$F$204))-SUMPRODUCT((Накладные!$C$5:$C$204=A8)*(Накладные!$E$5:$E$204=Справочник!$B$4)*(Накладные!$G$5:$G$204="Расход")*(Накладные!$F$5:$F$204)),SUMPRODUCT((Накладные!$C$5:$C$204=A8)*(Накладные!$D$5:$D$204=B8)*(Накладные!$E$5:$E$204=Справочник!$B$4)*(Накладные!$G$5:$G$204="Приход")*(Накладные!$F$5:$F$204))-SUMPRODUCT((Накладные!$C$5:$C$204=A8)*(Накладные!$D$5:$D$204=B8)*(Накладные!$E$5:$E$204=Справочник!$B$4)*(Накладные!$G$5:$G$204="Расход")*(Накладные!$F$5:$F$204))))</f>
        <v/>
      </c>
      <c r="D8" s="8">
        <f>IF(A8="","",IF(B8="",SUMPRODUCT((Накладные!$C$5:$C$204=A8)*(Накладные!$E$5:$E$204=Справочник!$B$5)*(Накладные!$G$5:$G$204="Приход")*(Накладные!$F$5:$F$204))-SUMPRODUCT((Накладные!$C$5:$C$204=A8)*(Накладные!$E$5:$E$204=Справочник!$B$5)*(Накладные!$G$5:$G$204="Расход")*(Накладные!$F$5:$F$204)),SUMPRODUCT((Накладные!$C$5:$C$204=A8)*(Накладные!$D$5:$D$204=B8)*(Накладные!$E$5:$E$204=Справочник!$B$5)*(Накладные!$G$5:$G$204="Приход")*(Накладные!$F$5:$F$204))-SUMPRODUCT((Накладные!$C$5:$C$204=A8)*(Накладные!$D$5:$D$204=B8)*(Накладные!$E$5:$E$204=Справочник!$B$5)*(Накладные!$G$5:$G$204="Расход")*(Накладные!$F$5:$F$204))))</f>
        <v/>
      </c>
      <c r="E8" s="8">
        <f>IF(A8="","",C8+D8)</f>
        <v/>
      </c>
    </row>
    <row r="9">
      <c r="A9" s="7">
        <f>IF(Справочник!A14="","",Справочник!A14)</f>
        <v/>
      </c>
      <c r="B9" s="7">
        <f>IF(Справочник!B14="","",Справочник!B14)</f>
        <v/>
      </c>
      <c r="C9" s="8">
        <f>IF(A9="","",IF(B9="",SUMPRODUCT((Накладные!$C$5:$C$204=A9)*(Накладные!$E$5:$E$204=Справочник!$B$4)*(Накладные!$G$5:$G$204="Приход")*(Накладные!$F$5:$F$204))-SUMPRODUCT((Накладные!$C$5:$C$204=A9)*(Накладные!$E$5:$E$204=Справочник!$B$4)*(Накладные!$G$5:$G$204="Расход")*(Накладные!$F$5:$F$204)),SUMPRODUCT((Накладные!$C$5:$C$204=A9)*(Накладные!$D$5:$D$204=B9)*(Накладные!$E$5:$E$204=Справочник!$B$4)*(Накладные!$G$5:$G$204="Приход")*(Накладные!$F$5:$F$204))-SUMPRODUCT((Накладные!$C$5:$C$204=A9)*(Накладные!$D$5:$D$204=B9)*(Накладные!$E$5:$E$204=Справочник!$B$4)*(Накладные!$G$5:$G$204="Расход")*(Накладные!$F$5:$F$204))))</f>
        <v/>
      </c>
      <c r="D9" s="8">
        <f>IF(A9="","",IF(B9="",SUMPRODUCT((Накладные!$C$5:$C$204=A9)*(Накладные!$E$5:$E$204=Справочник!$B$5)*(Накладные!$G$5:$G$204="Приход")*(Накладные!$F$5:$F$204))-SUMPRODUCT((Накладные!$C$5:$C$204=A9)*(Накладные!$E$5:$E$204=Справочник!$B$5)*(Накладные!$G$5:$G$204="Расход")*(Накладные!$F$5:$F$204)),SUMPRODUCT((Накладные!$C$5:$C$204=A9)*(Накладные!$D$5:$D$204=B9)*(Накладные!$E$5:$E$204=Справочник!$B$5)*(Накладные!$G$5:$G$204="Приход")*(Накладные!$F$5:$F$204))-SUMPRODUCT((Накладные!$C$5:$C$204=A9)*(Накладные!$D$5:$D$204=B9)*(Накладные!$E$5:$E$204=Справочник!$B$5)*(Накладные!$G$5:$G$204="Расход")*(Накладные!$F$5:$F$204))))</f>
        <v/>
      </c>
      <c r="E9" s="8">
        <f>IF(A9="","",C9+D9)</f>
        <v/>
      </c>
    </row>
    <row r="10">
      <c r="A10" s="7">
        <f>IF(Справочник!A15="","",Справочник!A15)</f>
        <v/>
      </c>
      <c r="B10" s="7">
        <f>IF(Справочник!B15="","",Справочник!B15)</f>
        <v/>
      </c>
      <c r="C10" s="8">
        <f>IF(A10="","",IF(B10="",SUMPRODUCT((Накладные!$C$5:$C$204=A10)*(Накладные!$E$5:$E$204=Справочник!$B$4)*(Накладные!$G$5:$G$204="Приход")*(Накладные!$F$5:$F$204))-SUMPRODUCT((Накладные!$C$5:$C$204=A10)*(Накладные!$E$5:$E$204=Справочник!$B$4)*(Накладные!$G$5:$G$204="Расход")*(Накладные!$F$5:$F$204)),SUMPRODUCT((Накладные!$C$5:$C$204=A10)*(Накладные!$D$5:$D$204=B10)*(Накладные!$E$5:$E$204=Справочник!$B$4)*(Накладные!$G$5:$G$204="Приход")*(Накладные!$F$5:$F$204))-SUMPRODUCT((Накладные!$C$5:$C$204=A10)*(Накладные!$D$5:$D$204=B10)*(Накладные!$E$5:$E$204=Справочник!$B$4)*(Накладные!$G$5:$G$204="Расход")*(Накладные!$F$5:$F$204))))</f>
        <v/>
      </c>
      <c r="D10" s="8">
        <f>IF(A10="","",IF(B10="",SUMPRODUCT((Накладные!$C$5:$C$204=A10)*(Накладные!$E$5:$E$204=Справочник!$B$5)*(Накладные!$G$5:$G$204="Приход")*(Накладные!$F$5:$F$204))-SUMPRODUCT((Накладные!$C$5:$C$204=A10)*(Накладные!$E$5:$E$204=Справочник!$B$5)*(Накладные!$G$5:$G$204="Расход")*(Накладные!$F$5:$F$204)),SUMPRODUCT((Накладные!$C$5:$C$204=A10)*(Накладные!$D$5:$D$204=B10)*(Накладные!$E$5:$E$204=Справочник!$B$5)*(Накладные!$G$5:$G$204="Приход")*(Накладные!$F$5:$F$204))-SUMPRODUCT((Накладные!$C$5:$C$204=A10)*(Накладные!$D$5:$D$204=B10)*(Накладные!$E$5:$E$204=Справочник!$B$5)*(Накладные!$G$5:$G$204="Расход")*(Накладные!$F$5:$F$204))))</f>
        <v/>
      </c>
      <c r="E10" s="8">
        <f>IF(A10="","",C10+D10)</f>
        <v/>
      </c>
    </row>
    <row r="11">
      <c r="A11" s="7">
        <f>IF(Справочник!A16="","",Справочник!A16)</f>
        <v/>
      </c>
      <c r="B11" s="7">
        <f>IF(Справочник!B16="","",Справочник!B16)</f>
        <v/>
      </c>
      <c r="C11" s="8">
        <f>IF(A11="","",IF(B11="",SUMPRODUCT((Накладные!$C$5:$C$204=A11)*(Накладные!$E$5:$E$204=Справочник!$B$4)*(Накладные!$G$5:$G$204="Приход")*(Накладные!$F$5:$F$204))-SUMPRODUCT((Накладные!$C$5:$C$204=A11)*(Накладные!$E$5:$E$204=Справочник!$B$4)*(Накладные!$G$5:$G$204="Расход")*(Накладные!$F$5:$F$204)),SUMPRODUCT((Накладные!$C$5:$C$204=A11)*(Накладные!$D$5:$D$204=B11)*(Накладные!$E$5:$E$204=Справочник!$B$4)*(Накладные!$G$5:$G$204="Приход")*(Накладные!$F$5:$F$204))-SUMPRODUCT((Накладные!$C$5:$C$204=A11)*(Накладные!$D$5:$D$204=B11)*(Накладные!$E$5:$E$204=Справочник!$B$4)*(Накладные!$G$5:$G$204="Расход")*(Накладные!$F$5:$F$204))))</f>
        <v/>
      </c>
      <c r="D11" s="8">
        <f>IF(A11="","",IF(B11="",SUMPRODUCT((Накладные!$C$5:$C$204=A11)*(Накладные!$E$5:$E$204=Справочник!$B$5)*(Накладные!$G$5:$G$204="Приход")*(Накладные!$F$5:$F$204))-SUMPRODUCT((Накладные!$C$5:$C$204=A11)*(Накладные!$E$5:$E$204=Справочник!$B$5)*(Накладные!$G$5:$G$204="Расход")*(Накладные!$F$5:$F$204)),SUMPRODUCT((Накладные!$C$5:$C$204=A11)*(Накладные!$D$5:$D$204=B11)*(Накладные!$E$5:$E$204=Справочник!$B$5)*(Накладные!$G$5:$G$204="Приход")*(Накладные!$F$5:$F$204))-SUMPRODUCT((Накладные!$C$5:$C$204=A11)*(Накладные!$D$5:$D$204=B11)*(Накладные!$E$5:$E$204=Справочник!$B$5)*(Накладные!$G$5:$G$204="Расход")*(Накладные!$F$5:$F$204))))</f>
        <v/>
      </c>
      <c r="E11" s="8">
        <f>IF(A11="","",C11+D11)</f>
        <v/>
      </c>
    </row>
    <row r="12">
      <c r="A12" s="7">
        <f>IF(Справочник!A17="","",Справочник!A17)</f>
        <v/>
      </c>
      <c r="B12" s="7">
        <f>IF(Справочник!B17="","",Справочник!B17)</f>
        <v/>
      </c>
      <c r="C12" s="8">
        <f>IF(A12="","",IF(B12="",SUMPRODUCT((Накладные!$C$5:$C$204=A12)*(Накладные!$E$5:$E$204=Справочник!$B$4)*(Накладные!$G$5:$G$204="Приход")*(Накладные!$F$5:$F$204))-SUMPRODUCT((Накладные!$C$5:$C$204=A12)*(Накладные!$E$5:$E$204=Справочник!$B$4)*(Накладные!$G$5:$G$204="Расход")*(Накладные!$F$5:$F$204)),SUMPRODUCT((Накладные!$C$5:$C$204=A12)*(Накладные!$D$5:$D$204=B12)*(Накладные!$E$5:$E$204=Справочник!$B$4)*(Накладные!$G$5:$G$204="Приход")*(Накладные!$F$5:$F$204))-SUMPRODUCT((Накладные!$C$5:$C$204=A12)*(Накладные!$D$5:$D$204=B12)*(Накладные!$E$5:$E$204=Справочник!$B$4)*(Накладные!$G$5:$G$204="Расход")*(Накладные!$F$5:$F$204))))</f>
        <v/>
      </c>
      <c r="D12" s="8">
        <f>IF(A12="","",IF(B12="",SUMPRODUCT((Накладные!$C$5:$C$204=A12)*(Накладные!$E$5:$E$204=Справочник!$B$5)*(Накладные!$G$5:$G$204="Приход")*(Накладные!$F$5:$F$204))-SUMPRODUCT((Накладные!$C$5:$C$204=A12)*(Накладные!$E$5:$E$204=Справочник!$B$5)*(Накладные!$G$5:$G$204="Расход")*(Накладные!$F$5:$F$204)),SUMPRODUCT((Накладные!$C$5:$C$204=A12)*(Накладные!$D$5:$D$204=B12)*(Накладные!$E$5:$E$204=Справочник!$B$5)*(Накладные!$G$5:$G$204="Приход")*(Накладные!$F$5:$F$204))-SUMPRODUCT((Накладные!$C$5:$C$204=A12)*(Накладные!$D$5:$D$204=B12)*(Накладные!$E$5:$E$204=Справочник!$B$5)*(Накладные!$G$5:$G$204="Расход")*(Накладные!$F$5:$F$204))))</f>
        <v/>
      </c>
      <c r="E12" s="8">
        <f>IF(A12="","",C12+D12)</f>
        <v/>
      </c>
    </row>
    <row r="13">
      <c r="A13" s="7">
        <f>IF(Справочник!A18="","",Справочник!A18)</f>
        <v/>
      </c>
      <c r="B13" s="7">
        <f>IF(Справочник!B18="","",Справочник!B18)</f>
        <v/>
      </c>
      <c r="C13" s="8">
        <f>IF(A13="","",IF(B13="",SUMPRODUCT((Накладные!$C$5:$C$204=A13)*(Накладные!$E$5:$E$204=Справочник!$B$4)*(Накладные!$G$5:$G$204="Приход")*(Накладные!$F$5:$F$204))-SUMPRODUCT((Накладные!$C$5:$C$204=A13)*(Накладные!$E$5:$E$204=Справочник!$B$4)*(Накладные!$G$5:$G$204="Расход")*(Накладные!$F$5:$F$204)),SUMPRODUCT((Накладные!$C$5:$C$204=A13)*(Накладные!$D$5:$D$204=B13)*(Накладные!$E$5:$E$204=Справочник!$B$4)*(Накладные!$G$5:$G$204="Приход")*(Накладные!$F$5:$F$204))-SUMPRODUCT((Накладные!$C$5:$C$204=A13)*(Накладные!$D$5:$D$204=B13)*(Накладные!$E$5:$E$204=Справочник!$B$4)*(Накладные!$G$5:$G$204="Расход")*(Накладные!$F$5:$F$204))))</f>
        <v/>
      </c>
      <c r="D13" s="8">
        <f>IF(A13="","",IF(B13="",SUMPRODUCT((Накладные!$C$5:$C$204=A13)*(Накладные!$E$5:$E$204=Справочник!$B$5)*(Накладные!$G$5:$G$204="Приход")*(Накладные!$F$5:$F$204))-SUMPRODUCT((Накладные!$C$5:$C$204=A13)*(Накладные!$E$5:$E$204=Справочник!$B$5)*(Накладные!$G$5:$G$204="Расход")*(Накладные!$F$5:$F$204)),SUMPRODUCT((Накладные!$C$5:$C$204=A13)*(Накладные!$D$5:$D$204=B13)*(Накладные!$E$5:$E$204=Справочник!$B$5)*(Накладные!$G$5:$G$204="Приход")*(Накладные!$F$5:$F$204))-SUMPRODUCT((Накладные!$C$5:$C$204=A13)*(Накладные!$D$5:$D$204=B13)*(Накладные!$E$5:$E$204=Справочник!$B$5)*(Накладные!$G$5:$G$204="Расход")*(Накладные!$F$5:$F$204))))</f>
        <v/>
      </c>
      <c r="E13" s="8">
        <f>IF(A13="","",C13+D13)</f>
        <v/>
      </c>
    </row>
    <row r="14">
      <c r="A14" s="7">
        <f>IF(Справочник!A19="","",Справочник!A19)</f>
        <v/>
      </c>
      <c r="B14" s="7">
        <f>IF(Справочник!B19="","",Справочник!B19)</f>
        <v/>
      </c>
      <c r="C14" s="8">
        <f>IF(A14="","",IF(B14="",SUMPRODUCT((Накладные!$C$5:$C$204=A14)*(Накладные!$E$5:$E$204=Справочник!$B$4)*(Накладные!$G$5:$G$204="Приход")*(Накладные!$F$5:$F$204))-SUMPRODUCT((Накладные!$C$5:$C$204=A14)*(Накладные!$E$5:$E$204=Справочник!$B$4)*(Накладные!$G$5:$G$204="Расход")*(Накладные!$F$5:$F$204)),SUMPRODUCT((Накладные!$C$5:$C$204=A14)*(Накладные!$D$5:$D$204=B14)*(Накладные!$E$5:$E$204=Справочник!$B$4)*(Накладные!$G$5:$G$204="Приход")*(Накладные!$F$5:$F$204))-SUMPRODUCT((Накладные!$C$5:$C$204=A14)*(Накладные!$D$5:$D$204=B14)*(Накладные!$E$5:$E$204=Справочник!$B$4)*(Накладные!$G$5:$G$204="Расход")*(Накладные!$F$5:$F$204))))</f>
        <v/>
      </c>
      <c r="D14" s="8">
        <f>IF(A14="","",IF(B14="",SUMPRODUCT((Накладные!$C$5:$C$204=A14)*(Накладные!$E$5:$E$204=Справочник!$B$5)*(Накладные!$G$5:$G$204="Приход")*(Накладные!$F$5:$F$204))-SUMPRODUCT((Накладные!$C$5:$C$204=A14)*(Накладные!$E$5:$E$204=Справочник!$B$5)*(Накладные!$G$5:$G$204="Расход")*(Накладные!$F$5:$F$204)),SUMPRODUCT((Накладные!$C$5:$C$204=A14)*(Накладные!$D$5:$D$204=B14)*(Накладные!$E$5:$E$204=Справочник!$B$5)*(Накладные!$G$5:$G$204="Приход")*(Накладные!$F$5:$F$204))-SUMPRODUCT((Накладные!$C$5:$C$204=A14)*(Накладные!$D$5:$D$204=B14)*(Накладные!$E$5:$E$204=Справочник!$B$5)*(Накладные!$G$5:$G$204="Расход")*(Накладные!$F$5:$F$204))))</f>
        <v/>
      </c>
      <c r="E14" s="8">
        <f>IF(A14="","",C14+D14)</f>
        <v/>
      </c>
    </row>
    <row r="15">
      <c r="A15" s="7">
        <f>IF(Справочник!A20="","",Справочник!A20)</f>
        <v/>
      </c>
      <c r="B15" s="7">
        <f>IF(Справочник!B20="","",Справочник!B20)</f>
        <v/>
      </c>
      <c r="C15" s="8">
        <f>IF(A15="","",IF(B15="",SUMPRODUCT((Накладные!$C$5:$C$204=A15)*(Накладные!$E$5:$E$204=Справочник!$B$4)*(Накладные!$G$5:$G$204="Приход")*(Накладные!$F$5:$F$204))-SUMPRODUCT((Накладные!$C$5:$C$204=A15)*(Накладные!$E$5:$E$204=Справочник!$B$4)*(Накладные!$G$5:$G$204="Расход")*(Накладные!$F$5:$F$204)),SUMPRODUCT((Накладные!$C$5:$C$204=A15)*(Накладные!$D$5:$D$204=B15)*(Накладные!$E$5:$E$204=Справочник!$B$4)*(Накладные!$G$5:$G$204="Приход")*(Накладные!$F$5:$F$204))-SUMPRODUCT((Накладные!$C$5:$C$204=A15)*(Накладные!$D$5:$D$204=B15)*(Накладные!$E$5:$E$204=Справочник!$B$4)*(Накладные!$G$5:$G$204="Расход")*(Накладные!$F$5:$F$204))))</f>
        <v/>
      </c>
      <c r="D15" s="8">
        <f>IF(A15="","",IF(B15="",SUMPRODUCT((Накладные!$C$5:$C$204=A15)*(Накладные!$E$5:$E$204=Справочник!$B$5)*(Накладные!$G$5:$G$204="Приход")*(Накладные!$F$5:$F$204))-SUMPRODUCT((Накладные!$C$5:$C$204=A15)*(Накладные!$E$5:$E$204=Справочник!$B$5)*(Накладные!$G$5:$G$204="Расход")*(Накладные!$F$5:$F$204)),SUMPRODUCT((Накладные!$C$5:$C$204=A15)*(Накладные!$D$5:$D$204=B15)*(Накладные!$E$5:$E$204=Справочник!$B$5)*(Накладные!$G$5:$G$204="Приход")*(Накладные!$F$5:$F$204))-SUMPRODUCT((Накладные!$C$5:$C$204=A15)*(Накладные!$D$5:$D$204=B15)*(Накладные!$E$5:$E$204=Справочник!$B$5)*(Накладные!$G$5:$G$204="Расход")*(Накладные!$F$5:$F$204))))</f>
        <v/>
      </c>
      <c r="E15" s="8">
        <f>IF(A15="","",C15+D15)</f>
        <v/>
      </c>
    </row>
    <row r="16">
      <c r="A16" s="7">
        <f>IF(Справочник!A21="","",Справочник!A21)</f>
        <v/>
      </c>
      <c r="B16" s="7">
        <f>IF(Справочник!B21="","",Справочник!B21)</f>
        <v/>
      </c>
      <c r="C16" s="8">
        <f>IF(A16="","",IF(B16="",SUMPRODUCT((Накладные!$C$5:$C$204=A16)*(Накладные!$E$5:$E$204=Справочник!$B$4)*(Накладные!$G$5:$G$204="Приход")*(Накладные!$F$5:$F$204))-SUMPRODUCT((Накладные!$C$5:$C$204=A16)*(Накладные!$E$5:$E$204=Справочник!$B$4)*(Накладные!$G$5:$G$204="Расход")*(Накладные!$F$5:$F$204)),SUMPRODUCT((Накладные!$C$5:$C$204=A16)*(Накладные!$D$5:$D$204=B16)*(Накладные!$E$5:$E$204=Справочник!$B$4)*(Накладные!$G$5:$G$204="Приход")*(Накладные!$F$5:$F$204))-SUMPRODUCT((Накладные!$C$5:$C$204=A16)*(Накладные!$D$5:$D$204=B16)*(Накладные!$E$5:$E$204=Справочник!$B$4)*(Накладные!$G$5:$G$204="Расход")*(Накладные!$F$5:$F$204))))</f>
        <v/>
      </c>
      <c r="D16" s="8">
        <f>IF(A16="","",IF(B16="",SUMPRODUCT((Накладные!$C$5:$C$204=A16)*(Накладные!$E$5:$E$204=Справочник!$B$5)*(Накладные!$G$5:$G$204="Приход")*(Накладные!$F$5:$F$204))-SUMPRODUCT((Накладные!$C$5:$C$204=A16)*(Накладные!$E$5:$E$204=Справочник!$B$5)*(Накладные!$G$5:$G$204="Расход")*(Накладные!$F$5:$F$204)),SUMPRODUCT((Накладные!$C$5:$C$204=A16)*(Накладные!$D$5:$D$204=B16)*(Накладные!$E$5:$E$204=Справочник!$B$5)*(Накладные!$G$5:$G$204="Приход")*(Накладные!$F$5:$F$204))-SUMPRODUCT((Накладные!$C$5:$C$204=A16)*(Накладные!$D$5:$D$204=B16)*(Накладные!$E$5:$E$204=Справочник!$B$5)*(Накладные!$G$5:$G$204="Расход")*(Накладные!$F$5:$F$204))))</f>
        <v/>
      </c>
      <c r="E16" s="8">
        <f>IF(A16="","",C16+D16)</f>
        <v/>
      </c>
    </row>
    <row r="17">
      <c r="A17" s="7">
        <f>IF(Справочник!A22="","",Справочник!A22)</f>
        <v/>
      </c>
      <c r="B17" s="7">
        <f>IF(Справочник!B22="","",Справочник!B22)</f>
        <v/>
      </c>
      <c r="C17" s="8">
        <f>IF(A17="","",IF(B17="",SUMPRODUCT((Накладные!$C$5:$C$204=A17)*(Накладные!$E$5:$E$204=Справочник!$B$4)*(Накладные!$G$5:$G$204="Приход")*(Накладные!$F$5:$F$204))-SUMPRODUCT((Накладные!$C$5:$C$204=A17)*(Накладные!$E$5:$E$204=Справочник!$B$4)*(Накладные!$G$5:$G$204="Расход")*(Накладные!$F$5:$F$204)),SUMPRODUCT((Накладные!$C$5:$C$204=A17)*(Накладные!$D$5:$D$204=B17)*(Накладные!$E$5:$E$204=Справочник!$B$4)*(Накладные!$G$5:$G$204="Приход")*(Накладные!$F$5:$F$204))-SUMPRODUCT((Накладные!$C$5:$C$204=A17)*(Накладные!$D$5:$D$204=B17)*(Накладные!$E$5:$E$204=Справочник!$B$4)*(Накладные!$G$5:$G$204="Расход")*(Накладные!$F$5:$F$204))))</f>
        <v/>
      </c>
      <c r="D17" s="8">
        <f>IF(A17="","",IF(B17="",SUMPRODUCT((Накладные!$C$5:$C$204=A17)*(Накладные!$E$5:$E$204=Справочник!$B$5)*(Накладные!$G$5:$G$204="Приход")*(Накладные!$F$5:$F$204))-SUMPRODUCT((Накладные!$C$5:$C$204=A17)*(Накладные!$E$5:$E$204=Справочник!$B$5)*(Накладные!$G$5:$G$204="Расход")*(Накладные!$F$5:$F$204)),SUMPRODUCT((Накладные!$C$5:$C$204=A17)*(Накладные!$D$5:$D$204=B17)*(Накладные!$E$5:$E$204=Справочник!$B$5)*(Накладные!$G$5:$G$204="Приход")*(Накладные!$F$5:$F$204))-SUMPRODUCT((Накладные!$C$5:$C$204=A17)*(Накладные!$D$5:$D$204=B17)*(Накладные!$E$5:$E$204=Справочник!$B$5)*(Накладные!$G$5:$G$204="Расход")*(Накладные!$F$5:$F$204))))</f>
        <v/>
      </c>
      <c r="E17" s="8">
        <f>IF(A17="","",C17+D17)</f>
        <v/>
      </c>
    </row>
    <row r="18">
      <c r="A18" s="7">
        <f>IF(Справочник!A23="","",Справочник!A23)</f>
        <v/>
      </c>
      <c r="B18" s="7">
        <f>IF(Справочник!B23="","",Справочник!B23)</f>
        <v/>
      </c>
      <c r="C18" s="8">
        <f>IF(A18="","",IF(B18="",SUMPRODUCT((Накладные!$C$5:$C$204=A18)*(Накладные!$E$5:$E$204=Справочник!$B$4)*(Накладные!$G$5:$G$204="Приход")*(Накладные!$F$5:$F$204))-SUMPRODUCT((Накладные!$C$5:$C$204=A18)*(Накладные!$E$5:$E$204=Справочник!$B$4)*(Накладные!$G$5:$G$204="Расход")*(Накладные!$F$5:$F$204)),SUMPRODUCT((Накладные!$C$5:$C$204=A18)*(Накладные!$D$5:$D$204=B18)*(Накладные!$E$5:$E$204=Справочник!$B$4)*(Накладные!$G$5:$G$204="Приход")*(Накладные!$F$5:$F$204))-SUMPRODUCT((Накладные!$C$5:$C$204=A18)*(Накладные!$D$5:$D$204=B18)*(Накладные!$E$5:$E$204=Справочник!$B$4)*(Накладные!$G$5:$G$204="Расход")*(Накладные!$F$5:$F$204))))</f>
        <v/>
      </c>
      <c r="D18" s="8">
        <f>IF(A18="","",IF(B18="",SUMPRODUCT((Накладные!$C$5:$C$204=A18)*(Накладные!$E$5:$E$204=Справочник!$B$5)*(Накладные!$G$5:$G$204="Приход")*(Накладные!$F$5:$F$204))-SUMPRODUCT((Накладные!$C$5:$C$204=A18)*(Накладные!$E$5:$E$204=Справочник!$B$5)*(Накладные!$G$5:$G$204="Расход")*(Накладные!$F$5:$F$204)),SUMPRODUCT((Накладные!$C$5:$C$204=A18)*(Накладные!$D$5:$D$204=B18)*(Накладные!$E$5:$E$204=Справочник!$B$5)*(Накладные!$G$5:$G$204="Приход")*(Накладные!$F$5:$F$204))-SUMPRODUCT((Накладные!$C$5:$C$204=A18)*(Накладные!$D$5:$D$204=B18)*(Накладные!$E$5:$E$204=Справочник!$B$5)*(Накладные!$G$5:$G$204="Расход")*(Накладные!$F$5:$F$204))))</f>
        <v/>
      </c>
      <c r="E18" s="8">
        <f>IF(A18="","",C18+D18)</f>
        <v/>
      </c>
    </row>
    <row r="19">
      <c r="A19" s="7">
        <f>IF(Справочник!A24="","",Справочник!A24)</f>
        <v/>
      </c>
      <c r="B19" s="7">
        <f>IF(Справочник!B24="","",Справочник!B24)</f>
        <v/>
      </c>
      <c r="C19" s="8">
        <f>IF(A19="","",IF(B19="",SUMPRODUCT((Накладные!$C$5:$C$204=A19)*(Накладные!$E$5:$E$204=Справочник!$B$4)*(Накладные!$G$5:$G$204="Приход")*(Накладные!$F$5:$F$204))-SUMPRODUCT((Накладные!$C$5:$C$204=A19)*(Накладные!$E$5:$E$204=Справочник!$B$4)*(Накладные!$G$5:$G$204="Расход")*(Накладные!$F$5:$F$204)),SUMPRODUCT((Накладные!$C$5:$C$204=A19)*(Накладные!$D$5:$D$204=B19)*(Накладные!$E$5:$E$204=Справочник!$B$4)*(Накладные!$G$5:$G$204="Приход")*(Накладные!$F$5:$F$204))-SUMPRODUCT((Накладные!$C$5:$C$204=A19)*(Накладные!$D$5:$D$204=B19)*(Накладные!$E$5:$E$204=Справочник!$B$4)*(Накладные!$G$5:$G$204="Расход")*(Накладные!$F$5:$F$204))))</f>
        <v/>
      </c>
      <c r="D19" s="8">
        <f>IF(A19="","",IF(B19="",SUMPRODUCT((Накладные!$C$5:$C$204=A19)*(Накладные!$E$5:$E$204=Справочник!$B$5)*(Накладные!$G$5:$G$204="Приход")*(Накладные!$F$5:$F$204))-SUMPRODUCT((Накладные!$C$5:$C$204=A19)*(Накладные!$E$5:$E$204=Справочник!$B$5)*(Накладные!$G$5:$G$204="Расход")*(Накладные!$F$5:$F$204)),SUMPRODUCT((Накладные!$C$5:$C$204=A19)*(Накладные!$D$5:$D$204=B19)*(Накладные!$E$5:$E$204=Справочник!$B$5)*(Накладные!$G$5:$G$204="Приход")*(Накладные!$F$5:$F$204))-SUMPRODUCT((Накладные!$C$5:$C$204=A19)*(Накладные!$D$5:$D$204=B19)*(Накладные!$E$5:$E$204=Справочник!$B$5)*(Накладные!$G$5:$G$204="Расход")*(Накладные!$F$5:$F$204))))</f>
        <v/>
      </c>
      <c r="E19" s="8">
        <f>IF(A19="","",C19+D19)</f>
        <v/>
      </c>
    </row>
    <row r="20">
      <c r="A20" s="7">
        <f>IF(Справочник!A25="","",Справочник!A25)</f>
        <v/>
      </c>
      <c r="B20" s="7">
        <f>IF(Справочник!B25="","",Справочник!B25)</f>
        <v/>
      </c>
      <c r="C20" s="8">
        <f>IF(A20="","",IF(B20="",SUMPRODUCT((Накладные!$C$5:$C$204=A20)*(Накладные!$E$5:$E$204=Справочник!$B$4)*(Накладные!$G$5:$G$204="Приход")*(Накладные!$F$5:$F$204))-SUMPRODUCT((Накладные!$C$5:$C$204=A20)*(Накладные!$E$5:$E$204=Справочник!$B$4)*(Накладные!$G$5:$G$204="Расход")*(Накладные!$F$5:$F$204)),SUMPRODUCT((Накладные!$C$5:$C$204=A20)*(Накладные!$D$5:$D$204=B20)*(Накладные!$E$5:$E$204=Справочник!$B$4)*(Накладные!$G$5:$G$204="Приход")*(Накладные!$F$5:$F$204))-SUMPRODUCT((Накладные!$C$5:$C$204=A20)*(Накладные!$D$5:$D$204=B20)*(Накладные!$E$5:$E$204=Справочник!$B$4)*(Накладные!$G$5:$G$204="Расход")*(Накладные!$F$5:$F$204))))</f>
        <v/>
      </c>
      <c r="D20" s="8">
        <f>IF(A20="","",IF(B20="",SUMPRODUCT((Накладные!$C$5:$C$204=A20)*(Накладные!$E$5:$E$204=Справочник!$B$5)*(Накладные!$G$5:$G$204="Приход")*(Накладные!$F$5:$F$204))-SUMPRODUCT((Накладные!$C$5:$C$204=A20)*(Накладные!$E$5:$E$204=Справочник!$B$5)*(Накладные!$G$5:$G$204="Расход")*(Накладные!$F$5:$F$204)),SUMPRODUCT((Накладные!$C$5:$C$204=A20)*(Накладные!$D$5:$D$204=B20)*(Накладные!$E$5:$E$204=Справочник!$B$5)*(Накладные!$G$5:$G$204="Приход")*(Накладные!$F$5:$F$204))-SUMPRODUCT((Накладные!$C$5:$C$204=A20)*(Накладные!$D$5:$D$204=B20)*(Накладные!$E$5:$E$204=Справочник!$B$5)*(Накладные!$G$5:$G$204="Расход")*(Накладные!$F$5:$F$204))))</f>
        <v/>
      </c>
      <c r="E20" s="8">
        <f>IF(A20="","",C20+D20)</f>
        <v/>
      </c>
    </row>
    <row r="21">
      <c r="A21" s="7">
        <f>IF(Справочник!A26="","",Справочник!A26)</f>
        <v/>
      </c>
      <c r="B21" s="7">
        <f>IF(Справочник!B26="","",Справочник!B26)</f>
        <v/>
      </c>
      <c r="C21" s="8">
        <f>IF(A21="","",IF(B21="",SUMPRODUCT((Накладные!$C$5:$C$204=A21)*(Накладные!$E$5:$E$204=Справочник!$B$4)*(Накладные!$G$5:$G$204="Приход")*(Накладные!$F$5:$F$204))-SUMPRODUCT((Накладные!$C$5:$C$204=A21)*(Накладные!$E$5:$E$204=Справочник!$B$4)*(Накладные!$G$5:$G$204="Расход")*(Накладные!$F$5:$F$204)),SUMPRODUCT((Накладные!$C$5:$C$204=A21)*(Накладные!$D$5:$D$204=B21)*(Накладные!$E$5:$E$204=Справочник!$B$4)*(Накладные!$G$5:$G$204="Приход")*(Накладные!$F$5:$F$204))-SUMPRODUCT((Накладные!$C$5:$C$204=A21)*(Накладные!$D$5:$D$204=B21)*(Накладные!$E$5:$E$204=Справочник!$B$4)*(Накладные!$G$5:$G$204="Расход")*(Накладные!$F$5:$F$204))))</f>
        <v/>
      </c>
      <c r="D21" s="8">
        <f>IF(A21="","",IF(B21="",SUMPRODUCT((Накладные!$C$5:$C$204=A21)*(Накладные!$E$5:$E$204=Справочник!$B$5)*(Накладные!$G$5:$G$204="Приход")*(Накладные!$F$5:$F$204))-SUMPRODUCT((Накладные!$C$5:$C$204=A21)*(Накладные!$E$5:$E$204=Справочник!$B$5)*(Накладные!$G$5:$G$204="Расход")*(Накладные!$F$5:$F$204)),SUMPRODUCT((Накладные!$C$5:$C$204=A21)*(Накладные!$D$5:$D$204=B21)*(Накладные!$E$5:$E$204=Справочник!$B$5)*(Накладные!$G$5:$G$204="Приход")*(Накладные!$F$5:$F$204))-SUMPRODUCT((Накладные!$C$5:$C$204=A21)*(Накладные!$D$5:$D$204=B21)*(Накладные!$E$5:$E$204=Справочник!$B$5)*(Накладные!$G$5:$G$204="Расход")*(Накладные!$F$5:$F$204))))</f>
        <v/>
      </c>
      <c r="E21" s="8">
        <f>IF(A21="","",C21+D21)</f>
        <v/>
      </c>
    </row>
    <row r="22">
      <c r="A22" s="7">
        <f>IF(Справочник!A27="","",Справочник!A27)</f>
        <v/>
      </c>
      <c r="B22" s="7">
        <f>IF(Справочник!B27="","",Справочник!B27)</f>
        <v/>
      </c>
      <c r="C22" s="8">
        <f>IF(A22="","",IF(B22="",SUMPRODUCT((Накладные!$C$5:$C$204=A22)*(Накладные!$E$5:$E$204=Справочник!$B$4)*(Накладные!$G$5:$G$204="Приход")*(Накладные!$F$5:$F$204))-SUMPRODUCT((Накладные!$C$5:$C$204=A22)*(Накладные!$E$5:$E$204=Справочник!$B$4)*(Накладные!$G$5:$G$204="Расход")*(Накладные!$F$5:$F$204)),SUMPRODUCT((Накладные!$C$5:$C$204=A22)*(Накладные!$D$5:$D$204=B22)*(Накладные!$E$5:$E$204=Справочник!$B$4)*(Накладные!$G$5:$G$204="Приход")*(Накладные!$F$5:$F$204))-SUMPRODUCT((Накладные!$C$5:$C$204=A22)*(Накладные!$D$5:$D$204=B22)*(Накладные!$E$5:$E$204=Справочник!$B$4)*(Накладные!$G$5:$G$204="Расход")*(Накладные!$F$5:$F$204))))</f>
        <v/>
      </c>
      <c r="D22" s="8">
        <f>IF(A22="","",IF(B22="",SUMPRODUCT((Накладные!$C$5:$C$204=A22)*(Накладные!$E$5:$E$204=Справочник!$B$5)*(Накладные!$G$5:$G$204="Приход")*(Накладные!$F$5:$F$204))-SUMPRODUCT((Накладные!$C$5:$C$204=A22)*(Накладные!$E$5:$E$204=Справочник!$B$5)*(Накладные!$G$5:$G$204="Расход")*(Накладные!$F$5:$F$204)),SUMPRODUCT((Накладные!$C$5:$C$204=A22)*(Накладные!$D$5:$D$204=B22)*(Накладные!$E$5:$E$204=Справочник!$B$5)*(Накладные!$G$5:$G$204="Приход")*(Накладные!$F$5:$F$204))-SUMPRODUCT((Накладные!$C$5:$C$204=A22)*(Накладные!$D$5:$D$204=B22)*(Накладные!$E$5:$E$204=Справочник!$B$5)*(Накладные!$G$5:$G$204="Расход")*(Накладные!$F$5:$F$204))))</f>
        <v/>
      </c>
      <c r="E22" s="8">
        <f>IF(A22="","",C22+D22)</f>
        <v/>
      </c>
    </row>
    <row r="23">
      <c r="A23" s="7">
        <f>IF(Справочник!A28="","",Справочник!A28)</f>
        <v/>
      </c>
      <c r="B23" s="7">
        <f>IF(Справочник!B28="","",Справочник!B28)</f>
        <v/>
      </c>
      <c r="C23" s="8">
        <f>IF(A23="","",IF(B23="",SUMPRODUCT((Накладные!$C$5:$C$204=A23)*(Накладные!$E$5:$E$204=Справочник!$B$4)*(Накладные!$G$5:$G$204="Приход")*(Накладные!$F$5:$F$204))-SUMPRODUCT((Накладные!$C$5:$C$204=A23)*(Накладные!$E$5:$E$204=Справочник!$B$4)*(Накладные!$G$5:$G$204="Расход")*(Накладные!$F$5:$F$204)),SUMPRODUCT((Накладные!$C$5:$C$204=A23)*(Накладные!$D$5:$D$204=B23)*(Накладные!$E$5:$E$204=Справочник!$B$4)*(Накладные!$G$5:$G$204="Приход")*(Накладные!$F$5:$F$204))-SUMPRODUCT((Накладные!$C$5:$C$204=A23)*(Накладные!$D$5:$D$204=B23)*(Накладные!$E$5:$E$204=Справочник!$B$4)*(Накладные!$G$5:$G$204="Расход")*(Накладные!$F$5:$F$204))))</f>
        <v/>
      </c>
      <c r="D23" s="8">
        <f>IF(A23="","",IF(B23="",SUMPRODUCT((Накладные!$C$5:$C$204=A23)*(Накладные!$E$5:$E$204=Справочник!$B$5)*(Накладные!$G$5:$G$204="Приход")*(Накладные!$F$5:$F$204))-SUMPRODUCT((Накладные!$C$5:$C$204=A23)*(Накладные!$E$5:$E$204=Справочник!$B$5)*(Накладные!$G$5:$G$204="Расход")*(Накладные!$F$5:$F$204)),SUMPRODUCT((Накладные!$C$5:$C$204=A23)*(Накладные!$D$5:$D$204=B23)*(Накладные!$E$5:$E$204=Справочник!$B$5)*(Накладные!$G$5:$G$204="Приход")*(Накладные!$F$5:$F$204))-SUMPRODUCT((Накладные!$C$5:$C$204=A23)*(Накладные!$D$5:$D$204=B23)*(Накладные!$E$5:$E$204=Справочник!$B$5)*(Накладные!$G$5:$G$204="Расход")*(Накладные!$F$5:$F$204))))</f>
        <v/>
      </c>
      <c r="E23" s="8">
        <f>IF(A23="","",C23+D23)</f>
        <v/>
      </c>
    </row>
    <row r="24">
      <c r="A24" s="7">
        <f>IF(Справочник!A29="","",Справочник!A29)</f>
        <v/>
      </c>
      <c r="B24" s="7">
        <f>IF(Справочник!B29="","",Справочник!B29)</f>
        <v/>
      </c>
      <c r="C24" s="8">
        <f>IF(A24="","",IF(B24="",SUMPRODUCT((Накладные!$C$5:$C$204=A24)*(Накладные!$E$5:$E$204=Справочник!$B$4)*(Накладные!$G$5:$G$204="Приход")*(Накладные!$F$5:$F$204))-SUMPRODUCT((Накладные!$C$5:$C$204=A24)*(Накладные!$E$5:$E$204=Справочник!$B$4)*(Накладные!$G$5:$G$204="Расход")*(Накладные!$F$5:$F$204)),SUMPRODUCT((Накладные!$C$5:$C$204=A24)*(Накладные!$D$5:$D$204=B24)*(Накладные!$E$5:$E$204=Справочник!$B$4)*(Накладные!$G$5:$G$204="Приход")*(Накладные!$F$5:$F$204))-SUMPRODUCT((Накладные!$C$5:$C$204=A24)*(Накладные!$D$5:$D$204=B24)*(Накладные!$E$5:$E$204=Справочник!$B$4)*(Накладные!$G$5:$G$204="Расход")*(Накладные!$F$5:$F$204))))</f>
        <v/>
      </c>
      <c r="D24" s="8">
        <f>IF(A24="","",IF(B24="",SUMPRODUCT((Накладные!$C$5:$C$204=A24)*(Накладные!$E$5:$E$204=Справочник!$B$5)*(Накладные!$G$5:$G$204="Приход")*(Накладные!$F$5:$F$204))-SUMPRODUCT((Накладные!$C$5:$C$204=A24)*(Накладные!$E$5:$E$204=Справочник!$B$5)*(Накладные!$G$5:$G$204="Расход")*(Накладные!$F$5:$F$204)),SUMPRODUCT((Накладные!$C$5:$C$204=A24)*(Накладные!$D$5:$D$204=B24)*(Накладные!$E$5:$E$204=Справочник!$B$5)*(Накладные!$G$5:$G$204="Приход")*(Накладные!$F$5:$F$204))-SUMPRODUCT((Накладные!$C$5:$C$204=A24)*(Накладные!$D$5:$D$204=B24)*(Накладные!$E$5:$E$204=Справочник!$B$5)*(Накладные!$G$5:$G$204="Расход")*(Накладные!$F$5:$F$204))))</f>
        <v/>
      </c>
      <c r="E24" s="8">
        <f>IF(A24="","",C24+D24)</f>
        <v/>
      </c>
    </row>
    <row r="25">
      <c r="A25" s="7">
        <f>IF(Справочник!A30="","",Справочник!A30)</f>
        <v/>
      </c>
      <c r="B25" s="7">
        <f>IF(Справочник!B30="","",Справочник!B30)</f>
        <v/>
      </c>
      <c r="C25" s="8">
        <f>IF(A25="","",IF(B25="",SUMPRODUCT((Накладные!$C$5:$C$204=A25)*(Накладные!$E$5:$E$204=Справочник!$B$4)*(Накладные!$G$5:$G$204="Приход")*(Накладные!$F$5:$F$204))-SUMPRODUCT((Накладные!$C$5:$C$204=A25)*(Накладные!$E$5:$E$204=Справочник!$B$4)*(Накладные!$G$5:$G$204="Расход")*(Накладные!$F$5:$F$204)),SUMPRODUCT((Накладные!$C$5:$C$204=A25)*(Накладные!$D$5:$D$204=B25)*(Накладные!$E$5:$E$204=Справочник!$B$4)*(Накладные!$G$5:$G$204="Приход")*(Накладные!$F$5:$F$204))-SUMPRODUCT((Накладные!$C$5:$C$204=A25)*(Накладные!$D$5:$D$204=B25)*(Накладные!$E$5:$E$204=Справочник!$B$4)*(Накладные!$G$5:$G$204="Расход")*(Накладные!$F$5:$F$204))))</f>
        <v/>
      </c>
      <c r="D25" s="8">
        <f>IF(A25="","",IF(B25="",SUMPRODUCT((Накладные!$C$5:$C$204=A25)*(Накладные!$E$5:$E$204=Справочник!$B$5)*(Накладные!$G$5:$G$204="Приход")*(Накладные!$F$5:$F$204))-SUMPRODUCT((Накладные!$C$5:$C$204=A25)*(Накладные!$E$5:$E$204=Справочник!$B$5)*(Накладные!$G$5:$G$204="Расход")*(Накладные!$F$5:$F$204)),SUMPRODUCT((Накладные!$C$5:$C$204=A25)*(Накладные!$D$5:$D$204=B25)*(Накладные!$E$5:$E$204=Справочник!$B$5)*(Накладные!$G$5:$G$204="Приход")*(Накладные!$F$5:$F$204))-SUMPRODUCT((Накладные!$C$5:$C$204=A25)*(Накладные!$D$5:$D$204=B25)*(Накладные!$E$5:$E$204=Справочник!$B$5)*(Накладные!$G$5:$G$204="Расход")*(Накладные!$F$5:$F$204))))</f>
        <v/>
      </c>
      <c r="E25" s="8">
        <f>IF(A25="","",C25+D25)</f>
        <v/>
      </c>
    </row>
    <row r="26">
      <c r="A26" s="7">
        <f>IF(Справочник!A31="","",Справочник!A31)</f>
        <v/>
      </c>
      <c r="B26" s="7">
        <f>IF(Справочник!B31="","",Справочник!B31)</f>
        <v/>
      </c>
      <c r="C26" s="8">
        <f>IF(A26="","",IF(B26="",SUMPRODUCT((Накладные!$C$5:$C$204=A26)*(Накладные!$E$5:$E$204=Справочник!$B$4)*(Накладные!$G$5:$G$204="Приход")*(Накладные!$F$5:$F$204))-SUMPRODUCT((Накладные!$C$5:$C$204=A26)*(Накладные!$E$5:$E$204=Справочник!$B$4)*(Накладные!$G$5:$G$204="Расход")*(Накладные!$F$5:$F$204)),SUMPRODUCT((Накладные!$C$5:$C$204=A26)*(Накладные!$D$5:$D$204=B26)*(Накладные!$E$5:$E$204=Справочник!$B$4)*(Накладные!$G$5:$G$204="Приход")*(Накладные!$F$5:$F$204))-SUMPRODUCT((Накладные!$C$5:$C$204=A26)*(Накладные!$D$5:$D$204=B26)*(Накладные!$E$5:$E$204=Справочник!$B$4)*(Накладные!$G$5:$G$204="Расход")*(Накладные!$F$5:$F$204))))</f>
        <v/>
      </c>
      <c r="D26" s="8">
        <f>IF(A26="","",IF(B26="",SUMPRODUCT((Накладные!$C$5:$C$204=A26)*(Накладные!$E$5:$E$204=Справочник!$B$5)*(Накладные!$G$5:$G$204="Приход")*(Накладные!$F$5:$F$204))-SUMPRODUCT((Накладные!$C$5:$C$204=A26)*(Накладные!$E$5:$E$204=Справочник!$B$5)*(Накладные!$G$5:$G$204="Расход")*(Накладные!$F$5:$F$204)),SUMPRODUCT((Накладные!$C$5:$C$204=A26)*(Накладные!$D$5:$D$204=B26)*(Накладные!$E$5:$E$204=Справочник!$B$5)*(Накладные!$G$5:$G$204="Приход")*(Накладные!$F$5:$F$204))-SUMPRODUCT((Накладные!$C$5:$C$204=A26)*(Накладные!$D$5:$D$204=B26)*(Накладные!$E$5:$E$204=Справочник!$B$5)*(Накладные!$G$5:$G$204="Расход")*(Накладные!$F$5:$F$204))))</f>
        <v/>
      </c>
      <c r="E26" s="8">
        <f>IF(A26="","",C26+D26)</f>
        <v/>
      </c>
    </row>
    <row r="27">
      <c r="A27" s="7">
        <f>IF(Справочник!A32="","",Справочник!A32)</f>
        <v/>
      </c>
      <c r="B27" s="7">
        <f>IF(Справочник!B32="","",Справочник!B32)</f>
        <v/>
      </c>
      <c r="C27" s="8">
        <f>IF(A27="","",IF(B27="",SUMPRODUCT((Накладные!$C$5:$C$204=A27)*(Накладные!$E$5:$E$204=Справочник!$B$4)*(Накладные!$G$5:$G$204="Приход")*(Накладные!$F$5:$F$204))-SUMPRODUCT((Накладные!$C$5:$C$204=A27)*(Накладные!$E$5:$E$204=Справочник!$B$4)*(Накладные!$G$5:$G$204="Расход")*(Накладные!$F$5:$F$204)),SUMPRODUCT((Накладные!$C$5:$C$204=A27)*(Накладные!$D$5:$D$204=B27)*(Накладные!$E$5:$E$204=Справочник!$B$4)*(Накладные!$G$5:$G$204="Приход")*(Накладные!$F$5:$F$204))-SUMPRODUCT((Накладные!$C$5:$C$204=A27)*(Накладные!$D$5:$D$204=B27)*(Накладные!$E$5:$E$204=Справочник!$B$4)*(Накладные!$G$5:$G$204="Расход")*(Накладные!$F$5:$F$204))))</f>
        <v/>
      </c>
      <c r="D27" s="8">
        <f>IF(A27="","",IF(B27="",SUMPRODUCT((Накладные!$C$5:$C$204=A27)*(Накладные!$E$5:$E$204=Справочник!$B$5)*(Накладные!$G$5:$G$204="Приход")*(Накладные!$F$5:$F$204))-SUMPRODUCT((Накладные!$C$5:$C$204=A27)*(Накладные!$E$5:$E$204=Справочник!$B$5)*(Накладные!$G$5:$G$204="Расход")*(Накладные!$F$5:$F$204)),SUMPRODUCT((Накладные!$C$5:$C$204=A27)*(Накладные!$D$5:$D$204=B27)*(Накладные!$E$5:$E$204=Справочник!$B$5)*(Накладные!$G$5:$G$204="Приход")*(Накладные!$F$5:$F$204))-SUMPRODUCT((Накладные!$C$5:$C$204=A27)*(Накладные!$D$5:$D$204=B27)*(Накладные!$E$5:$E$204=Справочник!$B$5)*(Накладные!$G$5:$G$204="Расход")*(Накладные!$F$5:$F$204))))</f>
        <v/>
      </c>
      <c r="E27" s="8">
        <f>IF(A27="","",C27+D27)</f>
        <v/>
      </c>
    </row>
    <row r="28">
      <c r="A28" s="7">
        <f>IF(Справочник!A33="","",Справочник!A33)</f>
        <v/>
      </c>
      <c r="B28" s="7">
        <f>IF(Справочник!B33="","",Справочник!B33)</f>
        <v/>
      </c>
      <c r="C28" s="8">
        <f>IF(A28="","",IF(B28="",SUMPRODUCT((Накладные!$C$5:$C$204=A28)*(Накладные!$E$5:$E$204=Справочник!$B$4)*(Накладные!$G$5:$G$204="Приход")*(Накладные!$F$5:$F$204))-SUMPRODUCT((Накладные!$C$5:$C$204=A28)*(Накладные!$E$5:$E$204=Справочник!$B$4)*(Накладные!$G$5:$G$204="Расход")*(Накладные!$F$5:$F$204)),SUMPRODUCT((Накладные!$C$5:$C$204=A28)*(Накладные!$D$5:$D$204=B28)*(Накладные!$E$5:$E$204=Справочник!$B$4)*(Накладные!$G$5:$G$204="Приход")*(Накладные!$F$5:$F$204))-SUMPRODUCT((Накладные!$C$5:$C$204=A28)*(Накладные!$D$5:$D$204=B28)*(Накладные!$E$5:$E$204=Справочник!$B$4)*(Накладные!$G$5:$G$204="Расход")*(Накладные!$F$5:$F$204))))</f>
        <v/>
      </c>
      <c r="D28" s="8">
        <f>IF(A28="","",IF(B28="",SUMPRODUCT((Накладные!$C$5:$C$204=A28)*(Накладные!$E$5:$E$204=Справочник!$B$5)*(Накладные!$G$5:$G$204="Приход")*(Накладные!$F$5:$F$204))-SUMPRODUCT((Накладные!$C$5:$C$204=A28)*(Накладные!$E$5:$E$204=Справочник!$B$5)*(Накладные!$G$5:$G$204="Расход")*(Накладные!$F$5:$F$204)),SUMPRODUCT((Накладные!$C$5:$C$204=A28)*(Накладные!$D$5:$D$204=B28)*(Накладные!$E$5:$E$204=Справочник!$B$5)*(Накладные!$G$5:$G$204="Приход")*(Накладные!$F$5:$F$204))-SUMPRODUCT((Накладные!$C$5:$C$204=A28)*(Накладные!$D$5:$D$204=B28)*(Накладные!$E$5:$E$204=Справочник!$B$5)*(Накладные!$G$5:$G$204="Расход")*(Накладные!$F$5:$F$204))))</f>
        <v/>
      </c>
      <c r="E28" s="8">
        <f>IF(A28="","",C28+D28)</f>
        <v/>
      </c>
    </row>
    <row r="29">
      <c r="A29" s="7">
        <f>IF(Справочник!A34="","",Справочник!A34)</f>
        <v/>
      </c>
      <c r="B29" s="7">
        <f>IF(Справочник!B34="","",Справочник!B34)</f>
        <v/>
      </c>
      <c r="C29" s="8">
        <f>IF(A29="","",IF(B29="",SUMPRODUCT((Накладные!$C$5:$C$204=A29)*(Накладные!$E$5:$E$204=Справочник!$B$4)*(Накладные!$G$5:$G$204="Приход")*(Накладные!$F$5:$F$204))-SUMPRODUCT((Накладные!$C$5:$C$204=A29)*(Накладные!$E$5:$E$204=Справочник!$B$4)*(Накладные!$G$5:$G$204="Расход")*(Накладные!$F$5:$F$204)),SUMPRODUCT((Накладные!$C$5:$C$204=A29)*(Накладные!$D$5:$D$204=B29)*(Накладные!$E$5:$E$204=Справочник!$B$4)*(Накладные!$G$5:$G$204="Приход")*(Накладные!$F$5:$F$204))-SUMPRODUCT((Накладные!$C$5:$C$204=A29)*(Накладные!$D$5:$D$204=B29)*(Накладные!$E$5:$E$204=Справочник!$B$4)*(Накладные!$G$5:$G$204="Расход")*(Накладные!$F$5:$F$204))))</f>
        <v/>
      </c>
      <c r="D29" s="8">
        <f>IF(A29="","",IF(B29="",SUMPRODUCT((Накладные!$C$5:$C$204=A29)*(Накладные!$E$5:$E$204=Справочник!$B$5)*(Накладные!$G$5:$G$204="Приход")*(Накладные!$F$5:$F$204))-SUMPRODUCT((Накладные!$C$5:$C$204=A29)*(Накладные!$E$5:$E$204=Справочник!$B$5)*(Накладные!$G$5:$G$204="Расход")*(Накладные!$F$5:$F$204)),SUMPRODUCT((Накладные!$C$5:$C$204=A29)*(Накладные!$D$5:$D$204=B29)*(Накладные!$E$5:$E$204=Справочник!$B$5)*(Накладные!$G$5:$G$204="Приход")*(Накладные!$F$5:$F$204))-SUMPRODUCT((Накладные!$C$5:$C$204=A29)*(Накладные!$D$5:$D$204=B29)*(Накладные!$E$5:$E$204=Справочник!$B$5)*(Накладные!$G$5:$G$204="Расход")*(Накладные!$F$5:$F$204))))</f>
        <v/>
      </c>
      <c r="E29" s="8">
        <f>IF(A29="","",C29+D29)</f>
        <v/>
      </c>
    </row>
    <row r="30">
      <c r="A30" s="7">
        <f>IF(Справочник!A35="","",Справочник!A35)</f>
        <v/>
      </c>
      <c r="B30" s="7">
        <f>IF(Справочник!B35="","",Справочник!B35)</f>
        <v/>
      </c>
      <c r="C30" s="8">
        <f>IF(A30="","",IF(B30="",SUMPRODUCT((Накладные!$C$5:$C$204=A30)*(Накладные!$E$5:$E$204=Справочник!$B$4)*(Накладные!$G$5:$G$204="Приход")*(Накладные!$F$5:$F$204))-SUMPRODUCT((Накладные!$C$5:$C$204=A30)*(Накладные!$E$5:$E$204=Справочник!$B$4)*(Накладные!$G$5:$G$204="Расход")*(Накладные!$F$5:$F$204)),SUMPRODUCT((Накладные!$C$5:$C$204=A30)*(Накладные!$D$5:$D$204=B30)*(Накладные!$E$5:$E$204=Справочник!$B$4)*(Накладные!$G$5:$G$204="Приход")*(Накладные!$F$5:$F$204))-SUMPRODUCT((Накладные!$C$5:$C$204=A30)*(Накладные!$D$5:$D$204=B30)*(Накладные!$E$5:$E$204=Справочник!$B$4)*(Накладные!$G$5:$G$204="Расход")*(Накладные!$F$5:$F$204))))</f>
        <v/>
      </c>
      <c r="D30" s="8">
        <f>IF(A30="","",IF(B30="",SUMPRODUCT((Накладные!$C$5:$C$204=A30)*(Накладные!$E$5:$E$204=Справочник!$B$5)*(Накладные!$G$5:$G$204="Приход")*(Накладные!$F$5:$F$204))-SUMPRODUCT((Накладные!$C$5:$C$204=A30)*(Накладные!$E$5:$E$204=Справочник!$B$5)*(Накладные!$G$5:$G$204="Расход")*(Накладные!$F$5:$F$204)),SUMPRODUCT((Накладные!$C$5:$C$204=A30)*(Накладные!$D$5:$D$204=B30)*(Накладные!$E$5:$E$204=Справочник!$B$5)*(Накладные!$G$5:$G$204="Приход")*(Накладные!$F$5:$F$204))-SUMPRODUCT((Накладные!$C$5:$C$204=A30)*(Накладные!$D$5:$D$204=B30)*(Накладные!$E$5:$E$204=Справочник!$B$5)*(Накладные!$G$5:$G$204="Расход")*(Накладные!$F$5:$F$204))))</f>
        <v/>
      </c>
      <c r="E30" s="8">
        <f>IF(A30="","",C30+D30)</f>
        <v/>
      </c>
    </row>
    <row r="31">
      <c r="A31" s="7">
        <f>IF(Справочник!A36="","",Справочник!A36)</f>
        <v/>
      </c>
      <c r="B31" s="7">
        <f>IF(Справочник!B36="","",Справочник!B36)</f>
        <v/>
      </c>
      <c r="C31" s="8">
        <f>IF(A31="","",IF(B31="",SUMPRODUCT((Накладные!$C$5:$C$204=A31)*(Накладные!$E$5:$E$204=Справочник!$B$4)*(Накладные!$G$5:$G$204="Приход")*(Накладные!$F$5:$F$204))-SUMPRODUCT((Накладные!$C$5:$C$204=A31)*(Накладные!$E$5:$E$204=Справочник!$B$4)*(Накладные!$G$5:$G$204="Расход")*(Накладные!$F$5:$F$204)),SUMPRODUCT((Накладные!$C$5:$C$204=A31)*(Накладные!$D$5:$D$204=B31)*(Накладные!$E$5:$E$204=Справочник!$B$4)*(Накладные!$G$5:$G$204="Приход")*(Накладные!$F$5:$F$204))-SUMPRODUCT((Накладные!$C$5:$C$204=A31)*(Накладные!$D$5:$D$204=B31)*(Накладные!$E$5:$E$204=Справочник!$B$4)*(Накладные!$G$5:$G$204="Расход")*(Накладные!$F$5:$F$204))))</f>
        <v/>
      </c>
      <c r="D31" s="8">
        <f>IF(A31="","",IF(B31="",SUMPRODUCT((Накладные!$C$5:$C$204=A31)*(Накладные!$E$5:$E$204=Справочник!$B$5)*(Накладные!$G$5:$G$204="Приход")*(Накладные!$F$5:$F$204))-SUMPRODUCT((Накладные!$C$5:$C$204=A31)*(Накладные!$E$5:$E$204=Справочник!$B$5)*(Накладные!$G$5:$G$204="Расход")*(Накладные!$F$5:$F$204)),SUMPRODUCT((Накладные!$C$5:$C$204=A31)*(Накладные!$D$5:$D$204=B31)*(Накладные!$E$5:$E$204=Справочник!$B$5)*(Накладные!$G$5:$G$204="Приход")*(Накладные!$F$5:$F$204))-SUMPRODUCT((Накладные!$C$5:$C$204=A31)*(Накладные!$D$5:$D$204=B31)*(Накладные!$E$5:$E$204=Справочник!$B$5)*(Накладные!$G$5:$G$204="Расход")*(Накладные!$F$5:$F$204))))</f>
        <v/>
      </c>
      <c r="E31" s="8">
        <f>IF(A31="","",C31+D31)</f>
        <v/>
      </c>
    </row>
    <row r="32">
      <c r="A32" s="7">
        <f>IF(Справочник!A37="","",Справочник!A37)</f>
        <v/>
      </c>
      <c r="B32" s="7">
        <f>IF(Справочник!B37="","",Справочник!B37)</f>
        <v/>
      </c>
      <c r="C32" s="8">
        <f>IF(A32="","",IF(B32="",SUMPRODUCT((Накладные!$C$5:$C$204=A32)*(Накладные!$E$5:$E$204=Справочник!$B$4)*(Накладные!$G$5:$G$204="Приход")*(Накладные!$F$5:$F$204))-SUMPRODUCT((Накладные!$C$5:$C$204=A32)*(Накладные!$E$5:$E$204=Справочник!$B$4)*(Накладные!$G$5:$G$204="Расход")*(Накладные!$F$5:$F$204)),SUMPRODUCT((Накладные!$C$5:$C$204=A32)*(Накладные!$D$5:$D$204=B32)*(Накладные!$E$5:$E$204=Справочник!$B$4)*(Накладные!$G$5:$G$204="Приход")*(Накладные!$F$5:$F$204))-SUMPRODUCT((Накладные!$C$5:$C$204=A32)*(Накладные!$D$5:$D$204=B32)*(Накладные!$E$5:$E$204=Справочник!$B$4)*(Накладные!$G$5:$G$204="Расход")*(Накладные!$F$5:$F$204))))</f>
        <v/>
      </c>
      <c r="D32" s="8">
        <f>IF(A32="","",IF(B32="",SUMPRODUCT((Накладные!$C$5:$C$204=A32)*(Накладные!$E$5:$E$204=Справочник!$B$5)*(Накладные!$G$5:$G$204="Приход")*(Накладные!$F$5:$F$204))-SUMPRODUCT((Накладные!$C$5:$C$204=A32)*(Накладные!$E$5:$E$204=Справочник!$B$5)*(Накладные!$G$5:$G$204="Расход")*(Накладные!$F$5:$F$204)),SUMPRODUCT((Накладные!$C$5:$C$204=A32)*(Накладные!$D$5:$D$204=B32)*(Накладные!$E$5:$E$204=Справочник!$B$5)*(Накладные!$G$5:$G$204="Приход")*(Накладные!$F$5:$F$204))-SUMPRODUCT((Накладные!$C$5:$C$204=A32)*(Накладные!$D$5:$D$204=B32)*(Накладные!$E$5:$E$204=Справочник!$B$5)*(Накладные!$G$5:$G$204="Расход")*(Накладные!$F$5:$F$204))))</f>
        <v/>
      </c>
      <c r="E32" s="8">
        <f>IF(A32="","",C32+D32)</f>
        <v/>
      </c>
    </row>
    <row r="33">
      <c r="A33" s="7">
        <f>IF(Справочник!A38="","",Справочник!A38)</f>
        <v/>
      </c>
      <c r="B33" s="7">
        <f>IF(Справочник!B38="","",Справочник!B38)</f>
        <v/>
      </c>
      <c r="C33" s="8">
        <f>IF(A33="","",IF(B33="",SUMPRODUCT((Накладные!$C$5:$C$204=A33)*(Накладные!$E$5:$E$204=Справочник!$B$4)*(Накладные!$G$5:$G$204="Приход")*(Накладные!$F$5:$F$204))-SUMPRODUCT((Накладные!$C$5:$C$204=A33)*(Накладные!$E$5:$E$204=Справочник!$B$4)*(Накладные!$G$5:$G$204="Расход")*(Накладные!$F$5:$F$204)),SUMPRODUCT((Накладные!$C$5:$C$204=A33)*(Накладные!$D$5:$D$204=B33)*(Накладные!$E$5:$E$204=Справочник!$B$4)*(Накладные!$G$5:$G$204="Приход")*(Накладные!$F$5:$F$204))-SUMPRODUCT((Накладные!$C$5:$C$204=A33)*(Накладные!$D$5:$D$204=B33)*(Накладные!$E$5:$E$204=Справочник!$B$4)*(Накладные!$G$5:$G$204="Расход")*(Накладные!$F$5:$F$204))))</f>
        <v/>
      </c>
      <c r="D33" s="8">
        <f>IF(A33="","",IF(B33="",SUMPRODUCT((Накладные!$C$5:$C$204=A33)*(Накладные!$E$5:$E$204=Справочник!$B$5)*(Накладные!$G$5:$G$204="Приход")*(Накладные!$F$5:$F$204))-SUMPRODUCT((Накладные!$C$5:$C$204=A33)*(Накладные!$E$5:$E$204=Справочник!$B$5)*(Накладные!$G$5:$G$204="Расход")*(Накладные!$F$5:$F$204)),SUMPRODUCT((Накладные!$C$5:$C$204=A33)*(Накладные!$D$5:$D$204=B33)*(Накладные!$E$5:$E$204=Справочник!$B$5)*(Накладные!$G$5:$G$204="Приход")*(Накладные!$F$5:$F$204))-SUMPRODUCT((Накладные!$C$5:$C$204=A33)*(Накладные!$D$5:$D$204=B33)*(Накладные!$E$5:$E$204=Справочник!$B$5)*(Накладные!$G$5:$G$204="Расход")*(Накладные!$F$5:$F$204))))</f>
        <v/>
      </c>
      <c r="E33" s="8">
        <f>IF(A33="","",C33+D33)</f>
        <v/>
      </c>
    </row>
    <row r="34">
      <c r="A34" s="7">
        <f>IF(Справочник!A39="","",Справочник!A39)</f>
        <v/>
      </c>
      <c r="B34" s="7">
        <f>IF(Справочник!B39="","",Справочник!B39)</f>
        <v/>
      </c>
      <c r="C34" s="8">
        <f>IF(A34="","",IF(B34="",SUMPRODUCT((Накладные!$C$5:$C$204=A34)*(Накладные!$E$5:$E$204=Справочник!$B$4)*(Накладные!$G$5:$G$204="Приход")*(Накладные!$F$5:$F$204))-SUMPRODUCT((Накладные!$C$5:$C$204=A34)*(Накладные!$E$5:$E$204=Справочник!$B$4)*(Накладные!$G$5:$G$204="Расход")*(Накладные!$F$5:$F$204)),SUMPRODUCT((Накладные!$C$5:$C$204=A34)*(Накладные!$D$5:$D$204=B34)*(Накладные!$E$5:$E$204=Справочник!$B$4)*(Накладные!$G$5:$G$204="Приход")*(Накладные!$F$5:$F$204))-SUMPRODUCT((Накладные!$C$5:$C$204=A34)*(Накладные!$D$5:$D$204=B34)*(Накладные!$E$5:$E$204=Справочник!$B$4)*(Накладные!$G$5:$G$204="Расход")*(Накладные!$F$5:$F$204))))</f>
        <v/>
      </c>
      <c r="D34" s="8">
        <f>IF(A34="","",IF(B34="",SUMPRODUCT((Накладные!$C$5:$C$204=A34)*(Накладные!$E$5:$E$204=Справочник!$B$5)*(Накладные!$G$5:$G$204="Приход")*(Накладные!$F$5:$F$204))-SUMPRODUCT((Накладные!$C$5:$C$204=A34)*(Накладные!$E$5:$E$204=Справочник!$B$5)*(Накладные!$G$5:$G$204="Расход")*(Накладные!$F$5:$F$204)),SUMPRODUCT((Накладные!$C$5:$C$204=A34)*(Накладные!$D$5:$D$204=B34)*(Накладные!$E$5:$E$204=Справочник!$B$5)*(Накладные!$G$5:$G$204="Приход")*(Накладные!$F$5:$F$204))-SUMPRODUCT((Накладные!$C$5:$C$204=A34)*(Накладные!$D$5:$D$204=B34)*(Накладные!$E$5:$E$204=Справочник!$B$5)*(Накладные!$G$5:$G$204="Расход")*(Накладные!$F$5:$F$204))))</f>
        <v/>
      </c>
      <c r="E34" s="8">
        <f>IF(A34="","",C34+D34)</f>
        <v/>
      </c>
    </row>
    <row r="35">
      <c r="A35" s="7">
        <f>IF(Справочник!A40="","",Справочник!A40)</f>
        <v/>
      </c>
      <c r="B35" s="7">
        <f>IF(Справочник!B40="","",Справочник!B40)</f>
        <v/>
      </c>
      <c r="C35" s="8">
        <f>IF(A35="","",IF(B35="",SUMPRODUCT((Накладные!$C$5:$C$204=A35)*(Накладные!$E$5:$E$204=Справочник!$B$4)*(Накладные!$G$5:$G$204="Приход")*(Накладные!$F$5:$F$204))-SUMPRODUCT((Накладные!$C$5:$C$204=A35)*(Накладные!$E$5:$E$204=Справочник!$B$4)*(Накладные!$G$5:$G$204="Расход")*(Накладные!$F$5:$F$204)),SUMPRODUCT((Накладные!$C$5:$C$204=A35)*(Накладные!$D$5:$D$204=B35)*(Накладные!$E$5:$E$204=Справочник!$B$4)*(Накладные!$G$5:$G$204="Приход")*(Накладные!$F$5:$F$204))-SUMPRODUCT((Накладные!$C$5:$C$204=A35)*(Накладные!$D$5:$D$204=B35)*(Накладные!$E$5:$E$204=Справочник!$B$4)*(Накладные!$G$5:$G$204="Расход")*(Накладные!$F$5:$F$204))))</f>
        <v/>
      </c>
      <c r="D35" s="8">
        <f>IF(A35="","",IF(B35="",SUMPRODUCT((Накладные!$C$5:$C$204=A35)*(Накладные!$E$5:$E$204=Справочник!$B$5)*(Накладные!$G$5:$G$204="Приход")*(Накладные!$F$5:$F$204))-SUMPRODUCT((Накладные!$C$5:$C$204=A35)*(Накладные!$E$5:$E$204=Справочник!$B$5)*(Накладные!$G$5:$G$204="Расход")*(Накладные!$F$5:$F$204)),SUMPRODUCT((Накладные!$C$5:$C$204=A35)*(Накладные!$D$5:$D$204=B35)*(Накладные!$E$5:$E$204=Справочник!$B$5)*(Накладные!$G$5:$G$204="Приход")*(Накладные!$F$5:$F$204))-SUMPRODUCT((Накладные!$C$5:$C$204=A35)*(Накладные!$D$5:$D$204=B35)*(Накладные!$E$5:$E$204=Справочник!$B$5)*(Накладные!$G$5:$G$204="Расход")*(Накладные!$F$5:$F$204))))</f>
        <v/>
      </c>
      <c r="E35" s="8">
        <f>IF(A35="","",C35+D35)</f>
        <v/>
      </c>
    </row>
    <row r="36">
      <c r="A36" s="7">
        <f>IF(Справочник!A41="","",Справочник!A41)</f>
        <v/>
      </c>
      <c r="B36" s="7">
        <f>IF(Справочник!B41="","",Справочник!B41)</f>
        <v/>
      </c>
      <c r="C36" s="8">
        <f>IF(A36="","",IF(B36="",SUMPRODUCT((Накладные!$C$5:$C$204=A36)*(Накладные!$E$5:$E$204=Справочник!$B$4)*(Накладные!$G$5:$G$204="Приход")*(Накладные!$F$5:$F$204))-SUMPRODUCT((Накладные!$C$5:$C$204=A36)*(Накладные!$E$5:$E$204=Справочник!$B$4)*(Накладные!$G$5:$G$204="Расход")*(Накладные!$F$5:$F$204)),SUMPRODUCT((Накладные!$C$5:$C$204=A36)*(Накладные!$D$5:$D$204=B36)*(Накладные!$E$5:$E$204=Справочник!$B$4)*(Накладные!$G$5:$G$204="Приход")*(Накладные!$F$5:$F$204))-SUMPRODUCT((Накладные!$C$5:$C$204=A36)*(Накладные!$D$5:$D$204=B36)*(Накладные!$E$5:$E$204=Справочник!$B$4)*(Накладные!$G$5:$G$204="Расход")*(Накладные!$F$5:$F$204))))</f>
        <v/>
      </c>
      <c r="D36" s="8">
        <f>IF(A36="","",IF(B36="",SUMPRODUCT((Накладные!$C$5:$C$204=A36)*(Накладные!$E$5:$E$204=Справочник!$B$5)*(Накладные!$G$5:$G$204="Приход")*(Накладные!$F$5:$F$204))-SUMPRODUCT((Накладные!$C$5:$C$204=A36)*(Накладные!$E$5:$E$204=Справочник!$B$5)*(Накладные!$G$5:$G$204="Расход")*(Накладные!$F$5:$F$204)),SUMPRODUCT((Накладные!$C$5:$C$204=A36)*(Накладные!$D$5:$D$204=B36)*(Накладные!$E$5:$E$204=Справочник!$B$5)*(Накладные!$G$5:$G$204="Приход")*(Накладные!$F$5:$F$204))-SUMPRODUCT((Накладные!$C$5:$C$204=A36)*(Накладные!$D$5:$D$204=B36)*(Накладные!$E$5:$E$204=Справочник!$B$5)*(Накладные!$G$5:$G$204="Расход")*(Накладные!$F$5:$F$204))))</f>
        <v/>
      </c>
      <c r="E36" s="8">
        <f>IF(A36="","",C36+D36)</f>
        <v/>
      </c>
    </row>
    <row r="37">
      <c r="A37" s="7">
        <f>IF(Справочник!A42="","",Справочник!A42)</f>
        <v/>
      </c>
      <c r="B37" s="7">
        <f>IF(Справочник!B42="","",Справочник!B42)</f>
        <v/>
      </c>
      <c r="C37" s="8">
        <f>IF(A37="","",IF(B37="",SUMPRODUCT((Накладные!$C$5:$C$204=A37)*(Накладные!$E$5:$E$204=Справочник!$B$4)*(Накладные!$G$5:$G$204="Приход")*(Накладные!$F$5:$F$204))-SUMPRODUCT((Накладные!$C$5:$C$204=A37)*(Накладные!$E$5:$E$204=Справочник!$B$4)*(Накладные!$G$5:$G$204="Расход")*(Накладные!$F$5:$F$204)),SUMPRODUCT((Накладные!$C$5:$C$204=A37)*(Накладные!$D$5:$D$204=B37)*(Накладные!$E$5:$E$204=Справочник!$B$4)*(Накладные!$G$5:$G$204="Приход")*(Накладные!$F$5:$F$204))-SUMPRODUCT((Накладные!$C$5:$C$204=A37)*(Накладные!$D$5:$D$204=B37)*(Накладные!$E$5:$E$204=Справочник!$B$4)*(Накладные!$G$5:$G$204="Расход")*(Накладные!$F$5:$F$204))))</f>
        <v/>
      </c>
      <c r="D37" s="8">
        <f>IF(A37="","",IF(B37="",SUMPRODUCT((Накладные!$C$5:$C$204=A37)*(Накладные!$E$5:$E$204=Справочник!$B$5)*(Накладные!$G$5:$G$204="Приход")*(Накладные!$F$5:$F$204))-SUMPRODUCT((Накладные!$C$5:$C$204=A37)*(Накладные!$E$5:$E$204=Справочник!$B$5)*(Накладные!$G$5:$G$204="Расход")*(Накладные!$F$5:$F$204)),SUMPRODUCT((Накладные!$C$5:$C$204=A37)*(Накладные!$D$5:$D$204=B37)*(Накладные!$E$5:$E$204=Справочник!$B$5)*(Накладные!$G$5:$G$204="Приход")*(Накладные!$F$5:$F$204))-SUMPRODUCT((Накладные!$C$5:$C$204=A37)*(Накладные!$D$5:$D$204=B37)*(Накладные!$E$5:$E$204=Справочник!$B$5)*(Накладные!$G$5:$G$204="Расход")*(Накладные!$F$5:$F$204))))</f>
        <v/>
      </c>
      <c r="E37" s="8">
        <f>IF(A37="","",C37+D37)</f>
        <v/>
      </c>
    </row>
    <row r="38">
      <c r="A38" s="7">
        <f>IF(Справочник!A43="","",Справочник!A43)</f>
        <v/>
      </c>
      <c r="B38" s="7">
        <f>IF(Справочник!B43="","",Справочник!B43)</f>
        <v/>
      </c>
      <c r="C38" s="8">
        <f>IF(A38="","",IF(B38="",SUMPRODUCT((Накладные!$C$5:$C$204=A38)*(Накладные!$E$5:$E$204=Справочник!$B$4)*(Накладные!$G$5:$G$204="Приход")*(Накладные!$F$5:$F$204))-SUMPRODUCT((Накладные!$C$5:$C$204=A38)*(Накладные!$E$5:$E$204=Справочник!$B$4)*(Накладные!$G$5:$G$204="Расход")*(Накладные!$F$5:$F$204)),SUMPRODUCT((Накладные!$C$5:$C$204=A38)*(Накладные!$D$5:$D$204=B38)*(Накладные!$E$5:$E$204=Справочник!$B$4)*(Накладные!$G$5:$G$204="Приход")*(Накладные!$F$5:$F$204))-SUMPRODUCT((Накладные!$C$5:$C$204=A38)*(Накладные!$D$5:$D$204=B38)*(Накладные!$E$5:$E$204=Справочник!$B$4)*(Накладные!$G$5:$G$204="Расход")*(Накладные!$F$5:$F$204))))</f>
        <v/>
      </c>
      <c r="D38" s="8">
        <f>IF(A38="","",IF(B38="",SUMPRODUCT((Накладные!$C$5:$C$204=A38)*(Накладные!$E$5:$E$204=Справочник!$B$5)*(Накладные!$G$5:$G$204="Приход")*(Накладные!$F$5:$F$204))-SUMPRODUCT((Накладные!$C$5:$C$204=A38)*(Накладные!$E$5:$E$204=Справочник!$B$5)*(Накладные!$G$5:$G$204="Расход")*(Накладные!$F$5:$F$204)),SUMPRODUCT((Накладные!$C$5:$C$204=A38)*(Накладные!$D$5:$D$204=B38)*(Накладные!$E$5:$E$204=Справочник!$B$5)*(Накладные!$G$5:$G$204="Приход")*(Накладные!$F$5:$F$204))-SUMPRODUCT((Накладные!$C$5:$C$204=A38)*(Накладные!$D$5:$D$204=B38)*(Накладные!$E$5:$E$204=Справочник!$B$5)*(Накладные!$G$5:$G$204="Расход")*(Накладные!$F$5:$F$204))))</f>
        <v/>
      </c>
      <c r="E38" s="8">
        <f>IF(A38="","",C38+D38)</f>
        <v/>
      </c>
    </row>
    <row r="39">
      <c r="A39" s="7">
        <f>IF(Справочник!A44="","",Справочник!A44)</f>
        <v/>
      </c>
      <c r="B39" s="7">
        <f>IF(Справочник!B44="","",Справочник!B44)</f>
        <v/>
      </c>
      <c r="C39" s="8">
        <f>IF(A39="","",IF(B39="",SUMPRODUCT((Накладные!$C$5:$C$204=A39)*(Накладные!$E$5:$E$204=Справочник!$B$4)*(Накладные!$G$5:$G$204="Приход")*(Накладные!$F$5:$F$204))-SUMPRODUCT((Накладные!$C$5:$C$204=A39)*(Накладные!$E$5:$E$204=Справочник!$B$4)*(Накладные!$G$5:$G$204="Расход")*(Накладные!$F$5:$F$204)),SUMPRODUCT((Накладные!$C$5:$C$204=A39)*(Накладные!$D$5:$D$204=B39)*(Накладные!$E$5:$E$204=Справочник!$B$4)*(Накладные!$G$5:$G$204="Приход")*(Накладные!$F$5:$F$204))-SUMPRODUCT((Накладные!$C$5:$C$204=A39)*(Накладные!$D$5:$D$204=B39)*(Накладные!$E$5:$E$204=Справочник!$B$4)*(Накладные!$G$5:$G$204="Расход")*(Накладные!$F$5:$F$204))))</f>
        <v/>
      </c>
      <c r="D39" s="8">
        <f>IF(A39="","",IF(B39="",SUMPRODUCT((Накладные!$C$5:$C$204=A39)*(Накладные!$E$5:$E$204=Справочник!$B$5)*(Накладные!$G$5:$G$204="Приход")*(Накладные!$F$5:$F$204))-SUMPRODUCT((Накладные!$C$5:$C$204=A39)*(Накладные!$E$5:$E$204=Справочник!$B$5)*(Накладные!$G$5:$G$204="Расход")*(Накладные!$F$5:$F$204)),SUMPRODUCT((Накладные!$C$5:$C$204=A39)*(Накладные!$D$5:$D$204=B39)*(Накладные!$E$5:$E$204=Справочник!$B$5)*(Накладные!$G$5:$G$204="Приход")*(Накладные!$F$5:$F$204))-SUMPRODUCT((Накладные!$C$5:$C$204=A39)*(Накладные!$D$5:$D$204=B39)*(Накладные!$E$5:$E$204=Справочник!$B$5)*(Накладные!$G$5:$G$204="Расход")*(Накладные!$F$5:$F$204))))</f>
        <v/>
      </c>
      <c r="E39" s="8">
        <f>IF(A39="","",C39+D39)</f>
        <v/>
      </c>
    </row>
    <row r="40">
      <c r="A40" s="7">
        <f>IF(Справочник!A45="","",Справочник!A45)</f>
        <v/>
      </c>
      <c r="B40" s="7">
        <f>IF(Справочник!B45="","",Справочник!B45)</f>
        <v/>
      </c>
      <c r="C40" s="8">
        <f>IF(A40="","",IF(B40="",SUMPRODUCT((Накладные!$C$5:$C$204=A40)*(Накладные!$E$5:$E$204=Справочник!$B$4)*(Накладные!$G$5:$G$204="Приход")*(Накладные!$F$5:$F$204))-SUMPRODUCT((Накладные!$C$5:$C$204=A40)*(Накладные!$E$5:$E$204=Справочник!$B$4)*(Накладные!$G$5:$G$204="Расход")*(Накладные!$F$5:$F$204)),SUMPRODUCT((Накладные!$C$5:$C$204=A40)*(Накладные!$D$5:$D$204=B40)*(Накладные!$E$5:$E$204=Справочник!$B$4)*(Накладные!$G$5:$G$204="Приход")*(Накладные!$F$5:$F$204))-SUMPRODUCT((Накладные!$C$5:$C$204=A40)*(Накладные!$D$5:$D$204=B40)*(Накладные!$E$5:$E$204=Справочник!$B$4)*(Накладные!$G$5:$G$204="Расход")*(Накладные!$F$5:$F$204))))</f>
        <v/>
      </c>
      <c r="D40" s="8">
        <f>IF(A40="","",IF(B40="",SUMPRODUCT((Накладные!$C$5:$C$204=A40)*(Накладные!$E$5:$E$204=Справочник!$B$5)*(Накладные!$G$5:$G$204="Приход")*(Накладные!$F$5:$F$204))-SUMPRODUCT((Накладные!$C$5:$C$204=A40)*(Накладные!$E$5:$E$204=Справочник!$B$5)*(Накладные!$G$5:$G$204="Расход")*(Накладные!$F$5:$F$204)),SUMPRODUCT((Накладные!$C$5:$C$204=A40)*(Накладные!$D$5:$D$204=B40)*(Накладные!$E$5:$E$204=Справочник!$B$5)*(Накладные!$G$5:$G$204="Приход")*(Накладные!$F$5:$F$204))-SUMPRODUCT((Накладные!$C$5:$C$204=A40)*(Накладные!$D$5:$D$204=B40)*(Накладные!$E$5:$E$204=Справочник!$B$5)*(Накладные!$G$5:$G$204="Расход")*(Накладные!$F$5:$F$204))))</f>
        <v/>
      </c>
      <c r="E40" s="8">
        <f>IF(A40="","",C40+D40)</f>
        <v/>
      </c>
    </row>
    <row r="41">
      <c r="A41" s="7">
        <f>IF(Справочник!A46="","",Справочник!A46)</f>
        <v/>
      </c>
      <c r="B41" s="7">
        <f>IF(Справочник!B46="","",Справочник!B46)</f>
        <v/>
      </c>
      <c r="C41" s="8">
        <f>IF(A41="","",IF(B41="",SUMPRODUCT((Накладные!$C$5:$C$204=A41)*(Накладные!$E$5:$E$204=Справочник!$B$4)*(Накладные!$G$5:$G$204="Приход")*(Накладные!$F$5:$F$204))-SUMPRODUCT((Накладные!$C$5:$C$204=A41)*(Накладные!$E$5:$E$204=Справочник!$B$4)*(Накладные!$G$5:$G$204="Расход")*(Накладные!$F$5:$F$204)),SUMPRODUCT((Накладные!$C$5:$C$204=A41)*(Накладные!$D$5:$D$204=B41)*(Накладные!$E$5:$E$204=Справочник!$B$4)*(Накладные!$G$5:$G$204="Приход")*(Накладные!$F$5:$F$204))-SUMPRODUCT((Накладные!$C$5:$C$204=A41)*(Накладные!$D$5:$D$204=B41)*(Накладные!$E$5:$E$204=Справочник!$B$4)*(Накладные!$G$5:$G$204="Расход")*(Накладные!$F$5:$F$204))))</f>
        <v/>
      </c>
      <c r="D41" s="8">
        <f>IF(A41="","",IF(B41="",SUMPRODUCT((Накладные!$C$5:$C$204=A41)*(Накладные!$E$5:$E$204=Справочник!$B$5)*(Накладные!$G$5:$G$204="Приход")*(Накладные!$F$5:$F$204))-SUMPRODUCT((Накладные!$C$5:$C$204=A41)*(Накладные!$E$5:$E$204=Справочник!$B$5)*(Накладные!$G$5:$G$204="Расход")*(Накладные!$F$5:$F$204)),SUMPRODUCT((Накладные!$C$5:$C$204=A41)*(Накладные!$D$5:$D$204=B41)*(Накладные!$E$5:$E$204=Справочник!$B$5)*(Накладные!$G$5:$G$204="Приход")*(Накладные!$F$5:$F$204))-SUMPRODUCT((Накладные!$C$5:$C$204=A41)*(Накладные!$D$5:$D$204=B41)*(Накладные!$E$5:$E$204=Справочник!$B$5)*(Накладные!$G$5:$G$204="Расход")*(Накладные!$F$5:$F$204))))</f>
        <v/>
      </c>
      <c r="E41" s="8">
        <f>IF(A41="","",C41+D41)</f>
        <v/>
      </c>
    </row>
    <row r="42">
      <c r="A42" s="7">
        <f>IF(Справочник!A47="","",Справочник!A47)</f>
        <v/>
      </c>
      <c r="B42" s="7">
        <f>IF(Справочник!B47="","",Справочник!B47)</f>
        <v/>
      </c>
      <c r="C42" s="8">
        <f>IF(A42="","",IF(B42="",SUMPRODUCT((Накладные!$C$5:$C$204=A42)*(Накладные!$E$5:$E$204=Справочник!$B$4)*(Накладные!$G$5:$G$204="Приход")*(Накладные!$F$5:$F$204))-SUMPRODUCT((Накладные!$C$5:$C$204=A42)*(Накладные!$E$5:$E$204=Справочник!$B$4)*(Накладные!$G$5:$G$204="Расход")*(Накладные!$F$5:$F$204)),SUMPRODUCT((Накладные!$C$5:$C$204=A42)*(Накладные!$D$5:$D$204=B42)*(Накладные!$E$5:$E$204=Справочник!$B$4)*(Накладные!$G$5:$G$204="Приход")*(Накладные!$F$5:$F$204))-SUMPRODUCT((Накладные!$C$5:$C$204=A42)*(Накладные!$D$5:$D$204=B42)*(Накладные!$E$5:$E$204=Справочник!$B$4)*(Накладные!$G$5:$G$204="Расход")*(Накладные!$F$5:$F$204))))</f>
        <v/>
      </c>
      <c r="D42" s="8">
        <f>IF(A42="","",IF(B42="",SUMPRODUCT((Накладные!$C$5:$C$204=A42)*(Накладные!$E$5:$E$204=Справочник!$B$5)*(Накладные!$G$5:$G$204="Приход")*(Накладные!$F$5:$F$204))-SUMPRODUCT((Накладные!$C$5:$C$204=A42)*(Накладные!$E$5:$E$204=Справочник!$B$5)*(Накладные!$G$5:$G$204="Расход")*(Накладные!$F$5:$F$204)),SUMPRODUCT((Накладные!$C$5:$C$204=A42)*(Накладные!$D$5:$D$204=B42)*(Накладные!$E$5:$E$204=Справочник!$B$5)*(Накладные!$G$5:$G$204="Приход")*(Накладные!$F$5:$F$204))-SUMPRODUCT((Накладные!$C$5:$C$204=A42)*(Накладные!$D$5:$D$204=B42)*(Накладные!$E$5:$E$204=Справочник!$B$5)*(Накладные!$G$5:$G$204="Расход")*(Накладные!$F$5:$F$204))))</f>
        <v/>
      </c>
      <c r="E42" s="8">
        <f>IF(A42="","",C42+D42)</f>
        <v/>
      </c>
    </row>
    <row r="43">
      <c r="A43" s="7">
        <f>IF(Справочник!A48="","",Справочник!A48)</f>
        <v/>
      </c>
      <c r="B43" s="7">
        <f>IF(Справочник!B48="","",Справочник!B48)</f>
        <v/>
      </c>
      <c r="C43" s="8">
        <f>IF(A43="","",IF(B43="",SUMPRODUCT((Накладные!$C$5:$C$204=A43)*(Накладные!$E$5:$E$204=Справочник!$B$4)*(Накладные!$G$5:$G$204="Приход")*(Накладные!$F$5:$F$204))-SUMPRODUCT((Накладные!$C$5:$C$204=A43)*(Накладные!$E$5:$E$204=Справочник!$B$4)*(Накладные!$G$5:$G$204="Расход")*(Накладные!$F$5:$F$204)),SUMPRODUCT((Накладные!$C$5:$C$204=A43)*(Накладные!$D$5:$D$204=B43)*(Накладные!$E$5:$E$204=Справочник!$B$4)*(Накладные!$G$5:$G$204="Приход")*(Накладные!$F$5:$F$204))-SUMPRODUCT((Накладные!$C$5:$C$204=A43)*(Накладные!$D$5:$D$204=B43)*(Накладные!$E$5:$E$204=Справочник!$B$4)*(Накладные!$G$5:$G$204="Расход")*(Накладные!$F$5:$F$204))))</f>
        <v/>
      </c>
      <c r="D43" s="8">
        <f>IF(A43="","",IF(B43="",SUMPRODUCT((Накладные!$C$5:$C$204=A43)*(Накладные!$E$5:$E$204=Справочник!$B$5)*(Накладные!$G$5:$G$204="Приход")*(Накладные!$F$5:$F$204))-SUMPRODUCT((Накладные!$C$5:$C$204=A43)*(Накладные!$E$5:$E$204=Справочник!$B$5)*(Накладные!$G$5:$G$204="Расход")*(Накладные!$F$5:$F$204)),SUMPRODUCT((Накладные!$C$5:$C$204=A43)*(Накладные!$D$5:$D$204=B43)*(Накладные!$E$5:$E$204=Справочник!$B$5)*(Накладные!$G$5:$G$204="Приход")*(Накладные!$F$5:$F$204))-SUMPRODUCT((Накладные!$C$5:$C$204=A43)*(Накладные!$D$5:$D$204=B43)*(Накладные!$E$5:$E$204=Справочник!$B$5)*(Накладные!$G$5:$G$204="Расход")*(Накладные!$F$5:$F$204))))</f>
        <v/>
      </c>
      <c r="E43" s="8">
        <f>IF(A43="","",C43+D43)</f>
        <v/>
      </c>
    </row>
    <row r="44">
      <c r="A44" s="7">
        <f>IF(Справочник!A49="","",Справочник!A49)</f>
        <v/>
      </c>
      <c r="B44" s="7">
        <f>IF(Справочник!B49="","",Справочник!B49)</f>
        <v/>
      </c>
      <c r="C44" s="8">
        <f>IF(A44="","",IF(B44="",SUMPRODUCT((Накладные!$C$5:$C$204=A44)*(Накладные!$E$5:$E$204=Справочник!$B$4)*(Накладные!$G$5:$G$204="Приход")*(Накладные!$F$5:$F$204))-SUMPRODUCT((Накладные!$C$5:$C$204=A44)*(Накладные!$E$5:$E$204=Справочник!$B$4)*(Накладные!$G$5:$G$204="Расход")*(Накладные!$F$5:$F$204)),SUMPRODUCT((Накладные!$C$5:$C$204=A44)*(Накладные!$D$5:$D$204=B44)*(Накладные!$E$5:$E$204=Справочник!$B$4)*(Накладные!$G$5:$G$204="Приход")*(Накладные!$F$5:$F$204))-SUMPRODUCT((Накладные!$C$5:$C$204=A44)*(Накладные!$D$5:$D$204=B44)*(Накладные!$E$5:$E$204=Справочник!$B$4)*(Накладные!$G$5:$G$204="Расход")*(Накладные!$F$5:$F$204))))</f>
        <v/>
      </c>
      <c r="D44" s="8">
        <f>IF(A44="","",IF(B44="",SUMPRODUCT((Накладные!$C$5:$C$204=A44)*(Накладные!$E$5:$E$204=Справочник!$B$5)*(Накладные!$G$5:$G$204="Приход")*(Накладные!$F$5:$F$204))-SUMPRODUCT((Накладные!$C$5:$C$204=A44)*(Накладные!$E$5:$E$204=Справочник!$B$5)*(Накладные!$G$5:$G$204="Расход")*(Накладные!$F$5:$F$204)),SUMPRODUCT((Накладные!$C$5:$C$204=A44)*(Накладные!$D$5:$D$204=B44)*(Накладные!$E$5:$E$204=Справочник!$B$5)*(Накладные!$G$5:$G$204="Приход")*(Накладные!$F$5:$F$204))-SUMPRODUCT((Накладные!$C$5:$C$204=A44)*(Накладные!$D$5:$D$204=B44)*(Накладные!$E$5:$E$204=Справочник!$B$5)*(Накладные!$G$5:$G$204="Расход")*(Накладные!$F$5:$F$204))))</f>
        <v/>
      </c>
      <c r="E44" s="8">
        <f>IF(A44="","",C44+D44)</f>
        <v/>
      </c>
    </row>
    <row r="45">
      <c r="A45" s="7">
        <f>IF(Справочник!A50="","",Справочник!A50)</f>
        <v/>
      </c>
      <c r="B45" s="7">
        <f>IF(Справочник!B50="","",Справочник!B50)</f>
        <v/>
      </c>
      <c r="C45" s="8">
        <f>IF(A45="","",IF(B45="",SUMPRODUCT((Накладные!$C$5:$C$204=A45)*(Накладные!$E$5:$E$204=Справочник!$B$4)*(Накладные!$G$5:$G$204="Приход")*(Накладные!$F$5:$F$204))-SUMPRODUCT((Накладные!$C$5:$C$204=A45)*(Накладные!$E$5:$E$204=Справочник!$B$4)*(Накладные!$G$5:$G$204="Расход")*(Накладные!$F$5:$F$204)),SUMPRODUCT((Накладные!$C$5:$C$204=A45)*(Накладные!$D$5:$D$204=B45)*(Накладные!$E$5:$E$204=Справочник!$B$4)*(Накладные!$G$5:$G$204="Приход")*(Накладные!$F$5:$F$204))-SUMPRODUCT((Накладные!$C$5:$C$204=A45)*(Накладные!$D$5:$D$204=B45)*(Накладные!$E$5:$E$204=Справочник!$B$4)*(Накладные!$G$5:$G$204="Расход")*(Накладные!$F$5:$F$204))))</f>
        <v/>
      </c>
      <c r="D45" s="8">
        <f>IF(A45="","",IF(B45="",SUMPRODUCT((Накладные!$C$5:$C$204=A45)*(Накладные!$E$5:$E$204=Справочник!$B$5)*(Накладные!$G$5:$G$204="Приход")*(Накладные!$F$5:$F$204))-SUMPRODUCT((Накладные!$C$5:$C$204=A45)*(Накладные!$E$5:$E$204=Справочник!$B$5)*(Накладные!$G$5:$G$204="Расход")*(Накладные!$F$5:$F$204)),SUMPRODUCT((Накладные!$C$5:$C$204=A45)*(Накладные!$D$5:$D$204=B45)*(Накладные!$E$5:$E$204=Справочник!$B$5)*(Накладные!$G$5:$G$204="Приход")*(Накладные!$F$5:$F$204))-SUMPRODUCT((Накладные!$C$5:$C$204=A45)*(Накладные!$D$5:$D$204=B45)*(Накладные!$E$5:$E$204=Справочник!$B$5)*(Накладные!$G$5:$G$204="Расход")*(Накладные!$F$5:$F$204))))</f>
        <v/>
      </c>
      <c r="E45" s="8">
        <f>IF(A45="","",C45+D45)</f>
        <v/>
      </c>
    </row>
    <row r="46">
      <c r="A46" s="7">
        <f>IF(Справочник!A51="","",Справочник!A51)</f>
        <v/>
      </c>
      <c r="B46" s="7">
        <f>IF(Справочник!B51="","",Справочник!B51)</f>
        <v/>
      </c>
      <c r="C46" s="8">
        <f>IF(A46="","",IF(B46="",SUMPRODUCT((Накладные!$C$5:$C$204=A46)*(Накладные!$E$5:$E$204=Справочник!$B$4)*(Накладные!$G$5:$G$204="Приход")*(Накладные!$F$5:$F$204))-SUMPRODUCT((Накладные!$C$5:$C$204=A46)*(Накладные!$E$5:$E$204=Справочник!$B$4)*(Накладные!$G$5:$G$204="Расход")*(Накладные!$F$5:$F$204)),SUMPRODUCT((Накладные!$C$5:$C$204=A46)*(Накладные!$D$5:$D$204=B46)*(Накладные!$E$5:$E$204=Справочник!$B$4)*(Накладные!$G$5:$G$204="Приход")*(Накладные!$F$5:$F$204))-SUMPRODUCT((Накладные!$C$5:$C$204=A46)*(Накладные!$D$5:$D$204=B46)*(Накладные!$E$5:$E$204=Справочник!$B$4)*(Накладные!$G$5:$G$204="Расход")*(Накладные!$F$5:$F$204))))</f>
        <v/>
      </c>
      <c r="D46" s="8">
        <f>IF(A46="","",IF(B46="",SUMPRODUCT((Накладные!$C$5:$C$204=A46)*(Накладные!$E$5:$E$204=Справочник!$B$5)*(Накладные!$G$5:$G$204="Приход")*(Накладные!$F$5:$F$204))-SUMPRODUCT((Накладные!$C$5:$C$204=A46)*(Накладные!$E$5:$E$204=Справочник!$B$5)*(Накладные!$G$5:$G$204="Расход")*(Накладные!$F$5:$F$204)),SUMPRODUCT((Накладные!$C$5:$C$204=A46)*(Накладные!$D$5:$D$204=B46)*(Накладные!$E$5:$E$204=Справочник!$B$5)*(Накладные!$G$5:$G$204="Приход")*(Накладные!$F$5:$F$204))-SUMPRODUCT((Накладные!$C$5:$C$204=A46)*(Накладные!$D$5:$D$204=B46)*(Накладные!$E$5:$E$204=Справочник!$B$5)*(Накладные!$G$5:$G$204="Расход")*(Накладные!$F$5:$F$204))))</f>
        <v/>
      </c>
      <c r="E46" s="8">
        <f>IF(A46="","",C46+D46)</f>
        <v/>
      </c>
    </row>
    <row r="47">
      <c r="A47" s="7">
        <f>IF(Справочник!A52="","",Справочник!A52)</f>
        <v/>
      </c>
      <c r="B47" s="7">
        <f>IF(Справочник!B52="","",Справочник!B52)</f>
        <v/>
      </c>
      <c r="C47" s="8">
        <f>IF(A47="","",IF(B47="",SUMPRODUCT((Накладные!$C$5:$C$204=A47)*(Накладные!$E$5:$E$204=Справочник!$B$4)*(Накладные!$G$5:$G$204="Приход")*(Накладные!$F$5:$F$204))-SUMPRODUCT((Накладные!$C$5:$C$204=A47)*(Накладные!$E$5:$E$204=Справочник!$B$4)*(Накладные!$G$5:$G$204="Расход")*(Накладные!$F$5:$F$204)),SUMPRODUCT((Накладные!$C$5:$C$204=A47)*(Накладные!$D$5:$D$204=B47)*(Накладные!$E$5:$E$204=Справочник!$B$4)*(Накладные!$G$5:$G$204="Приход")*(Накладные!$F$5:$F$204))-SUMPRODUCT((Накладные!$C$5:$C$204=A47)*(Накладные!$D$5:$D$204=B47)*(Накладные!$E$5:$E$204=Справочник!$B$4)*(Накладные!$G$5:$G$204="Расход")*(Накладные!$F$5:$F$204))))</f>
        <v/>
      </c>
      <c r="D47" s="8">
        <f>IF(A47="","",IF(B47="",SUMPRODUCT((Накладные!$C$5:$C$204=A47)*(Накладные!$E$5:$E$204=Справочник!$B$5)*(Накладные!$G$5:$G$204="Приход")*(Накладные!$F$5:$F$204))-SUMPRODUCT((Накладные!$C$5:$C$204=A47)*(Накладные!$E$5:$E$204=Справочник!$B$5)*(Накладные!$G$5:$G$204="Расход")*(Накладные!$F$5:$F$204)),SUMPRODUCT((Накладные!$C$5:$C$204=A47)*(Накладные!$D$5:$D$204=B47)*(Накладные!$E$5:$E$204=Справочник!$B$5)*(Накладные!$G$5:$G$204="Приход")*(Накладные!$F$5:$F$204))-SUMPRODUCT((Накладные!$C$5:$C$204=A47)*(Накладные!$D$5:$D$204=B47)*(Накладные!$E$5:$E$204=Справочник!$B$5)*(Накладные!$G$5:$G$204="Расход")*(Накладные!$F$5:$F$204))))</f>
        <v/>
      </c>
      <c r="E47" s="8">
        <f>IF(A47="","",C47+D47)</f>
        <v/>
      </c>
    </row>
    <row r="48">
      <c r="A48" s="7">
        <f>IF(Справочник!A53="","",Справочник!A53)</f>
        <v/>
      </c>
      <c r="B48" s="7">
        <f>IF(Справочник!B53="","",Справочник!B53)</f>
        <v/>
      </c>
      <c r="C48" s="8">
        <f>IF(A48="","",IF(B48="",SUMPRODUCT((Накладные!$C$5:$C$204=A48)*(Накладные!$E$5:$E$204=Справочник!$B$4)*(Накладные!$G$5:$G$204="Приход")*(Накладные!$F$5:$F$204))-SUMPRODUCT((Накладные!$C$5:$C$204=A48)*(Накладные!$E$5:$E$204=Справочник!$B$4)*(Накладные!$G$5:$G$204="Расход")*(Накладные!$F$5:$F$204)),SUMPRODUCT((Накладные!$C$5:$C$204=A48)*(Накладные!$D$5:$D$204=B48)*(Накладные!$E$5:$E$204=Справочник!$B$4)*(Накладные!$G$5:$G$204="Приход")*(Накладные!$F$5:$F$204))-SUMPRODUCT((Накладные!$C$5:$C$204=A48)*(Накладные!$D$5:$D$204=B48)*(Накладные!$E$5:$E$204=Справочник!$B$4)*(Накладные!$G$5:$G$204="Расход")*(Накладные!$F$5:$F$204))))</f>
        <v/>
      </c>
      <c r="D48" s="8">
        <f>IF(A48="","",IF(B48="",SUMPRODUCT((Накладные!$C$5:$C$204=A48)*(Накладные!$E$5:$E$204=Справочник!$B$5)*(Накладные!$G$5:$G$204="Приход")*(Накладные!$F$5:$F$204))-SUMPRODUCT((Накладные!$C$5:$C$204=A48)*(Накладные!$E$5:$E$204=Справочник!$B$5)*(Накладные!$G$5:$G$204="Расход")*(Накладные!$F$5:$F$204)),SUMPRODUCT((Накладные!$C$5:$C$204=A48)*(Накладные!$D$5:$D$204=B48)*(Накладные!$E$5:$E$204=Справочник!$B$5)*(Накладные!$G$5:$G$204="Приход")*(Накладные!$F$5:$F$204))-SUMPRODUCT((Накладные!$C$5:$C$204=A48)*(Накладные!$D$5:$D$204=B48)*(Накладные!$E$5:$E$204=Справочник!$B$5)*(Накладные!$G$5:$G$204="Расход")*(Накладные!$F$5:$F$204))))</f>
        <v/>
      </c>
      <c r="E48" s="8">
        <f>IF(A48="","",C48+D48)</f>
        <v/>
      </c>
    </row>
    <row r="49">
      <c r="A49" s="7">
        <f>IF(Справочник!A54="","",Справочник!A54)</f>
        <v/>
      </c>
      <c r="B49" s="7">
        <f>IF(Справочник!B54="","",Справочник!B54)</f>
        <v/>
      </c>
      <c r="C49" s="8">
        <f>IF(A49="","",IF(B49="",SUMPRODUCT((Накладные!$C$5:$C$204=A49)*(Накладные!$E$5:$E$204=Справочник!$B$4)*(Накладные!$G$5:$G$204="Приход")*(Накладные!$F$5:$F$204))-SUMPRODUCT((Накладные!$C$5:$C$204=A49)*(Накладные!$E$5:$E$204=Справочник!$B$4)*(Накладные!$G$5:$G$204="Расход")*(Накладные!$F$5:$F$204)),SUMPRODUCT((Накладные!$C$5:$C$204=A49)*(Накладные!$D$5:$D$204=B49)*(Накладные!$E$5:$E$204=Справочник!$B$4)*(Накладные!$G$5:$G$204="Приход")*(Накладные!$F$5:$F$204))-SUMPRODUCT((Накладные!$C$5:$C$204=A49)*(Накладные!$D$5:$D$204=B49)*(Накладные!$E$5:$E$204=Справочник!$B$4)*(Накладные!$G$5:$G$204="Расход")*(Накладные!$F$5:$F$204))))</f>
        <v/>
      </c>
      <c r="D49" s="8">
        <f>IF(A49="","",IF(B49="",SUMPRODUCT((Накладные!$C$5:$C$204=A49)*(Накладные!$E$5:$E$204=Справочник!$B$5)*(Накладные!$G$5:$G$204="Приход")*(Накладные!$F$5:$F$204))-SUMPRODUCT((Накладные!$C$5:$C$204=A49)*(Накладные!$E$5:$E$204=Справочник!$B$5)*(Накладные!$G$5:$G$204="Расход")*(Накладные!$F$5:$F$204)),SUMPRODUCT((Накладные!$C$5:$C$204=A49)*(Накладные!$D$5:$D$204=B49)*(Накладные!$E$5:$E$204=Справочник!$B$5)*(Накладные!$G$5:$G$204="Приход")*(Накладные!$F$5:$F$204))-SUMPRODUCT((Накладные!$C$5:$C$204=A49)*(Накладные!$D$5:$D$204=B49)*(Накладные!$E$5:$E$204=Справочник!$B$5)*(Накладные!$G$5:$G$204="Расход")*(Накладные!$F$5:$F$204))))</f>
        <v/>
      </c>
      <c r="E49" s="8">
        <f>IF(A49="","",C49+D49)</f>
        <v/>
      </c>
    </row>
    <row r="50">
      <c r="A50" s="7">
        <f>IF(Справочник!A55="","",Справочник!A55)</f>
        <v/>
      </c>
      <c r="B50" s="7">
        <f>IF(Справочник!B55="","",Справочник!B55)</f>
        <v/>
      </c>
      <c r="C50" s="8">
        <f>IF(A50="","",IF(B50="",SUMPRODUCT((Накладные!$C$5:$C$204=A50)*(Накладные!$E$5:$E$204=Справочник!$B$4)*(Накладные!$G$5:$G$204="Приход")*(Накладные!$F$5:$F$204))-SUMPRODUCT((Накладные!$C$5:$C$204=A50)*(Накладные!$E$5:$E$204=Справочник!$B$4)*(Накладные!$G$5:$G$204="Расход")*(Накладные!$F$5:$F$204)),SUMPRODUCT((Накладные!$C$5:$C$204=A50)*(Накладные!$D$5:$D$204=B50)*(Накладные!$E$5:$E$204=Справочник!$B$4)*(Накладные!$G$5:$G$204="Приход")*(Накладные!$F$5:$F$204))-SUMPRODUCT((Накладные!$C$5:$C$204=A50)*(Накладные!$D$5:$D$204=B50)*(Накладные!$E$5:$E$204=Справочник!$B$4)*(Накладные!$G$5:$G$204="Расход")*(Накладные!$F$5:$F$204))))</f>
        <v/>
      </c>
      <c r="D50" s="8">
        <f>IF(A50="","",IF(B50="",SUMPRODUCT((Накладные!$C$5:$C$204=A50)*(Накладные!$E$5:$E$204=Справочник!$B$5)*(Накладные!$G$5:$G$204="Приход")*(Накладные!$F$5:$F$204))-SUMPRODUCT((Накладные!$C$5:$C$204=A50)*(Накладные!$E$5:$E$204=Справочник!$B$5)*(Накладные!$G$5:$G$204="Расход")*(Накладные!$F$5:$F$204)),SUMPRODUCT((Накладные!$C$5:$C$204=A50)*(Накладные!$D$5:$D$204=B50)*(Накладные!$E$5:$E$204=Справочник!$B$5)*(Накладные!$G$5:$G$204="Приход")*(Накладные!$F$5:$F$204))-SUMPRODUCT((Накладные!$C$5:$C$204=A50)*(Накладные!$D$5:$D$204=B50)*(Накладные!$E$5:$E$204=Справочник!$B$5)*(Накладные!$G$5:$G$204="Расход")*(Накладные!$F$5:$F$204))))</f>
        <v/>
      </c>
      <c r="E50" s="8">
        <f>IF(A50="","",C50+D50)</f>
        <v/>
      </c>
    </row>
    <row r="51">
      <c r="A51" s="7">
        <f>IF(Справочник!A56="","",Справочник!A56)</f>
        <v/>
      </c>
      <c r="B51" s="7">
        <f>IF(Справочник!B56="","",Справочник!B56)</f>
        <v/>
      </c>
      <c r="C51" s="8">
        <f>IF(A51="","",IF(B51="",SUMPRODUCT((Накладные!$C$5:$C$204=A51)*(Накладные!$E$5:$E$204=Справочник!$B$4)*(Накладные!$G$5:$G$204="Приход")*(Накладные!$F$5:$F$204))-SUMPRODUCT((Накладные!$C$5:$C$204=A51)*(Накладные!$E$5:$E$204=Справочник!$B$4)*(Накладные!$G$5:$G$204="Расход")*(Накладные!$F$5:$F$204)),SUMPRODUCT((Накладные!$C$5:$C$204=A51)*(Накладные!$D$5:$D$204=B51)*(Накладные!$E$5:$E$204=Справочник!$B$4)*(Накладные!$G$5:$G$204="Приход")*(Накладные!$F$5:$F$204))-SUMPRODUCT((Накладные!$C$5:$C$204=A51)*(Накладные!$D$5:$D$204=B51)*(Накладные!$E$5:$E$204=Справочник!$B$4)*(Накладные!$G$5:$G$204="Расход")*(Накладные!$F$5:$F$204))))</f>
        <v/>
      </c>
      <c r="D51" s="8">
        <f>IF(A51="","",IF(B51="",SUMPRODUCT((Накладные!$C$5:$C$204=A51)*(Накладные!$E$5:$E$204=Справочник!$B$5)*(Накладные!$G$5:$G$204="Приход")*(Накладные!$F$5:$F$204))-SUMPRODUCT((Накладные!$C$5:$C$204=A51)*(Накладные!$E$5:$E$204=Справочник!$B$5)*(Накладные!$G$5:$G$204="Расход")*(Накладные!$F$5:$F$204)),SUMPRODUCT((Накладные!$C$5:$C$204=A51)*(Накладные!$D$5:$D$204=B51)*(Накладные!$E$5:$E$204=Справочник!$B$5)*(Накладные!$G$5:$G$204="Приход")*(Накладные!$F$5:$F$204))-SUMPRODUCT((Накладные!$C$5:$C$204=A51)*(Накладные!$D$5:$D$204=B51)*(Накладные!$E$5:$E$204=Справочник!$B$5)*(Накладные!$G$5:$G$204="Расход")*(Накладные!$F$5:$F$204))))</f>
        <v/>
      </c>
      <c r="E51" s="8">
        <f>IF(A51="","",C51+D51)</f>
        <v/>
      </c>
    </row>
    <row r="52">
      <c r="A52" s="7">
        <f>IF(Справочник!A57="","",Справочник!A57)</f>
        <v/>
      </c>
      <c r="B52" s="7">
        <f>IF(Справочник!B57="","",Справочник!B57)</f>
        <v/>
      </c>
      <c r="C52" s="8">
        <f>IF(A52="","",IF(B52="",SUMPRODUCT((Накладные!$C$5:$C$204=A52)*(Накладные!$E$5:$E$204=Справочник!$B$4)*(Накладные!$G$5:$G$204="Приход")*(Накладные!$F$5:$F$204))-SUMPRODUCT((Накладные!$C$5:$C$204=A52)*(Накладные!$E$5:$E$204=Справочник!$B$4)*(Накладные!$G$5:$G$204="Расход")*(Накладные!$F$5:$F$204)),SUMPRODUCT((Накладные!$C$5:$C$204=A52)*(Накладные!$D$5:$D$204=B52)*(Накладные!$E$5:$E$204=Справочник!$B$4)*(Накладные!$G$5:$G$204="Приход")*(Накладные!$F$5:$F$204))-SUMPRODUCT((Накладные!$C$5:$C$204=A52)*(Накладные!$D$5:$D$204=B52)*(Накладные!$E$5:$E$204=Справочник!$B$4)*(Накладные!$G$5:$G$204="Расход")*(Накладные!$F$5:$F$204))))</f>
        <v/>
      </c>
      <c r="D52" s="8">
        <f>IF(A52="","",IF(B52="",SUMPRODUCT((Накладные!$C$5:$C$204=A52)*(Накладные!$E$5:$E$204=Справочник!$B$5)*(Накладные!$G$5:$G$204="Приход")*(Накладные!$F$5:$F$204))-SUMPRODUCT((Накладные!$C$5:$C$204=A52)*(Накладные!$E$5:$E$204=Справочник!$B$5)*(Накладные!$G$5:$G$204="Расход")*(Накладные!$F$5:$F$204)),SUMPRODUCT((Накладные!$C$5:$C$204=A52)*(Накладные!$D$5:$D$204=B52)*(Накладные!$E$5:$E$204=Справочник!$B$5)*(Накладные!$G$5:$G$204="Приход")*(Накладные!$F$5:$F$204))-SUMPRODUCT((Накладные!$C$5:$C$204=A52)*(Накладные!$D$5:$D$204=B52)*(Накладные!$E$5:$E$204=Справочник!$B$5)*(Накладные!$G$5:$G$204="Расход")*(Накладные!$F$5:$F$204))))</f>
        <v/>
      </c>
      <c r="E52" s="8">
        <f>IF(A52="","",C52+D52)</f>
        <v/>
      </c>
    </row>
    <row r="53">
      <c r="A53" s="7">
        <f>IF(Справочник!A58="","",Справочник!A58)</f>
        <v/>
      </c>
      <c r="B53" s="7">
        <f>IF(Справочник!B58="","",Справочник!B58)</f>
        <v/>
      </c>
      <c r="C53" s="8">
        <f>IF(A53="","",IF(B53="",SUMPRODUCT((Накладные!$C$5:$C$204=A53)*(Накладные!$E$5:$E$204=Справочник!$B$4)*(Накладные!$G$5:$G$204="Приход")*(Накладные!$F$5:$F$204))-SUMPRODUCT((Накладные!$C$5:$C$204=A53)*(Накладные!$E$5:$E$204=Справочник!$B$4)*(Накладные!$G$5:$G$204="Расход")*(Накладные!$F$5:$F$204)),SUMPRODUCT((Накладные!$C$5:$C$204=A53)*(Накладные!$D$5:$D$204=B53)*(Накладные!$E$5:$E$204=Справочник!$B$4)*(Накладные!$G$5:$G$204="Приход")*(Накладные!$F$5:$F$204))-SUMPRODUCT((Накладные!$C$5:$C$204=A53)*(Накладные!$D$5:$D$204=B53)*(Накладные!$E$5:$E$204=Справочник!$B$4)*(Накладные!$G$5:$G$204="Расход")*(Накладные!$F$5:$F$204))))</f>
        <v/>
      </c>
      <c r="D53" s="8">
        <f>IF(A53="","",IF(B53="",SUMPRODUCT((Накладные!$C$5:$C$204=A53)*(Накладные!$E$5:$E$204=Справочник!$B$5)*(Накладные!$G$5:$G$204="Приход")*(Накладные!$F$5:$F$204))-SUMPRODUCT((Накладные!$C$5:$C$204=A53)*(Накладные!$E$5:$E$204=Справочник!$B$5)*(Накладные!$G$5:$G$204="Расход")*(Накладные!$F$5:$F$204)),SUMPRODUCT((Накладные!$C$5:$C$204=A53)*(Накладные!$D$5:$D$204=B53)*(Накладные!$E$5:$E$204=Справочник!$B$5)*(Накладные!$G$5:$G$204="Приход")*(Накладные!$F$5:$F$204))-SUMPRODUCT((Накладные!$C$5:$C$204=A53)*(Накладные!$D$5:$D$204=B53)*(Накладные!$E$5:$E$204=Справочник!$B$5)*(Накладные!$G$5:$G$204="Расход")*(Накладные!$F$5:$F$204))))</f>
        <v/>
      </c>
      <c r="E53" s="8">
        <f>IF(A53="","",C53+D53)</f>
        <v/>
      </c>
    </row>
    <row r="54">
      <c r="A54" s="7">
        <f>IF(Справочник!A59="","",Справочник!A59)</f>
        <v/>
      </c>
      <c r="B54" s="7">
        <f>IF(Справочник!B59="","",Справочник!B59)</f>
        <v/>
      </c>
      <c r="C54" s="8">
        <f>IF(A54="","",IF(B54="",SUMPRODUCT((Накладные!$C$5:$C$204=A54)*(Накладные!$E$5:$E$204=Справочник!$B$4)*(Накладные!$G$5:$G$204="Приход")*(Накладные!$F$5:$F$204))-SUMPRODUCT((Накладные!$C$5:$C$204=A54)*(Накладные!$E$5:$E$204=Справочник!$B$4)*(Накладные!$G$5:$G$204="Расход")*(Накладные!$F$5:$F$204)),SUMPRODUCT((Накладные!$C$5:$C$204=A54)*(Накладные!$D$5:$D$204=B54)*(Накладные!$E$5:$E$204=Справочник!$B$4)*(Накладные!$G$5:$G$204="Приход")*(Накладные!$F$5:$F$204))-SUMPRODUCT((Накладные!$C$5:$C$204=A54)*(Накладные!$D$5:$D$204=B54)*(Накладные!$E$5:$E$204=Справочник!$B$4)*(Накладные!$G$5:$G$204="Расход")*(Накладные!$F$5:$F$204))))</f>
        <v/>
      </c>
      <c r="D54" s="8">
        <f>IF(A54="","",IF(B54="",SUMPRODUCT((Накладные!$C$5:$C$204=A54)*(Накладные!$E$5:$E$204=Справочник!$B$5)*(Накладные!$G$5:$G$204="Приход")*(Накладные!$F$5:$F$204))-SUMPRODUCT((Накладные!$C$5:$C$204=A54)*(Накладные!$E$5:$E$204=Справочник!$B$5)*(Накладные!$G$5:$G$204="Расход")*(Накладные!$F$5:$F$204)),SUMPRODUCT((Накладные!$C$5:$C$204=A54)*(Накладные!$D$5:$D$204=B54)*(Накладные!$E$5:$E$204=Справочник!$B$5)*(Накладные!$G$5:$G$204="Приход")*(Накладные!$F$5:$F$204))-SUMPRODUCT((Накладные!$C$5:$C$204=A54)*(Накладные!$D$5:$D$204=B54)*(Накладные!$E$5:$E$204=Справочник!$B$5)*(Накладные!$G$5:$G$204="Расход")*(Накладные!$F$5:$F$204))))</f>
        <v/>
      </c>
      <c r="E54" s="8">
        <f>IF(A54="","",C54+D54)</f>
        <v/>
      </c>
    </row>
    <row r="55">
      <c r="A55" s="7">
        <f>IF(Справочник!A60="","",Справочник!A60)</f>
        <v/>
      </c>
      <c r="B55" s="7">
        <f>IF(Справочник!B60="","",Справочник!B60)</f>
        <v/>
      </c>
      <c r="C55" s="8">
        <f>IF(A55="","",IF(B55="",SUMPRODUCT((Накладные!$C$5:$C$204=A55)*(Накладные!$E$5:$E$204=Справочник!$B$4)*(Накладные!$G$5:$G$204="Приход")*(Накладные!$F$5:$F$204))-SUMPRODUCT((Накладные!$C$5:$C$204=A55)*(Накладные!$E$5:$E$204=Справочник!$B$4)*(Накладные!$G$5:$G$204="Расход")*(Накладные!$F$5:$F$204)),SUMPRODUCT((Накладные!$C$5:$C$204=A55)*(Накладные!$D$5:$D$204=B55)*(Накладные!$E$5:$E$204=Справочник!$B$4)*(Накладные!$G$5:$G$204="Приход")*(Накладные!$F$5:$F$204))-SUMPRODUCT((Накладные!$C$5:$C$204=A55)*(Накладные!$D$5:$D$204=B55)*(Накладные!$E$5:$E$204=Справочник!$B$4)*(Накладные!$G$5:$G$204="Расход")*(Накладные!$F$5:$F$204))))</f>
        <v/>
      </c>
      <c r="D55" s="8">
        <f>IF(A55="","",IF(B55="",SUMPRODUCT((Накладные!$C$5:$C$204=A55)*(Накладные!$E$5:$E$204=Справочник!$B$5)*(Накладные!$G$5:$G$204="Приход")*(Накладные!$F$5:$F$204))-SUMPRODUCT((Накладные!$C$5:$C$204=A55)*(Накладные!$E$5:$E$204=Справочник!$B$5)*(Накладные!$G$5:$G$204="Расход")*(Накладные!$F$5:$F$204)),SUMPRODUCT((Накладные!$C$5:$C$204=A55)*(Накладные!$D$5:$D$204=B55)*(Накладные!$E$5:$E$204=Справочник!$B$5)*(Накладные!$G$5:$G$204="Приход")*(Накладные!$F$5:$F$204))-SUMPRODUCT((Накладные!$C$5:$C$204=A55)*(Накладные!$D$5:$D$204=B55)*(Накладные!$E$5:$E$204=Справочник!$B$5)*(Накладные!$G$5:$G$204="Расход")*(Накладные!$F$5:$F$204))))</f>
        <v/>
      </c>
      <c r="E55" s="8">
        <f>IF(A55="","",C55+D55)</f>
        <v/>
      </c>
    </row>
    <row r="56">
      <c r="A56" s="7">
        <f>IF(Справочник!A61="","",Справочник!A61)</f>
        <v/>
      </c>
      <c r="B56" s="7">
        <f>IF(Справочник!B61="","",Справочник!B61)</f>
        <v/>
      </c>
      <c r="C56" s="8">
        <f>IF(A56="","",IF(B56="",SUMPRODUCT((Накладные!$C$5:$C$204=A56)*(Накладные!$E$5:$E$204=Справочник!$B$4)*(Накладные!$G$5:$G$204="Приход")*(Накладные!$F$5:$F$204))-SUMPRODUCT((Накладные!$C$5:$C$204=A56)*(Накладные!$E$5:$E$204=Справочник!$B$4)*(Накладные!$G$5:$G$204="Расход")*(Накладные!$F$5:$F$204)),SUMPRODUCT((Накладные!$C$5:$C$204=A56)*(Накладные!$D$5:$D$204=B56)*(Накладные!$E$5:$E$204=Справочник!$B$4)*(Накладные!$G$5:$G$204="Приход")*(Накладные!$F$5:$F$204))-SUMPRODUCT((Накладные!$C$5:$C$204=A56)*(Накладные!$D$5:$D$204=B56)*(Накладные!$E$5:$E$204=Справочник!$B$4)*(Накладные!$G$5:$G$204="Расход")*(Накладные!$F$5:$F$204))))</f>
        <v/>
      </c>
      <c r="D56" s="8">
        <f>IF(A56="","",IF(B56="",SUMPRODUCT((Накладные!$C$5:$C$204=A56)*(Накладные!$E$5:$E$204=Справочник!$B$5)*(Накладные!$G$5:$G$204="Приход")*(Накладные!$F$5:$F$204))-SUMPRODUCT((Накладные!$C$5:$C$204=A56)*(Накладные!$E$5:$E$204=Справочник!$B$5)*(Накладные!$G$5:$G$204="Расход")*(Накладные!$F$5:$F$204)),SUMPRODUCT((Накладные!$C$5:$C$204=A56)*(Накладные!$D$5:$D$204=B56)*(Накладные!$E$5:$E$204=Справочник!$B$5)*(Накладные!$G$5:$G$204="Приход")*(Накладные!$F$5:$F$204))-SUMPRODUCT((Накладные!$C$5:$C$204=A56)*(Накладные!$D$5:$D$204=B56)*(Накладные!$E$5:$E$204=Справочник!$B$5)*(Накладные!$G$5:$G$204="Расход")*(Накладные!$F$5:$F$204))))</f>
        <v/>
      </c>
      <c r="E56" s="8">
        <f>IF(A56="","",C56+D56)</f>
        <v/>
      </c>
    </row>
    <row r="57">
      <c r="A57" s="7">
        <f>IF(Справочник!A62="","",Справочник!A62)</f>
        <v/>
      </c>
      <c r="B57" s="7">
        <f>IF(Справочник!B62="","",Справочник!B62)</f>
        <v/>
      </c>
      <c r="C57" s="8">
        <f>IF(A57="","",IF(B57="",SUMPRODUCT((Накладные!$C$5:$C$204=A57)*(Накладные!$E$5:$E$204=Справочник!$B$4)*(Накладные!$G$5:$G$204="Приход")*(Накладные!$F$5:$F$204))-SUMPRODUCT((Накладные!$C$5:$C$204=A57)*(Накладные!$E$5:$E$204=Справочник!$B$4)*(Накладные!$G$5:$G$204="Расход")*(Накладные!$F$5:$F$204)),SUMPRODUCT((Накладные!$C$5:$C$204=A57)*(Накладные!$D$5:$D$204=B57)*(Накладные!$E$5:$E$204=Справочник!$B$4)*(Накладные!$G$5:$G$204="Приход")*(Накладные!$F$5:$F$204))-SUMPRODUCT((Накладные!$C$5:$C$204=A57)*(Накладные!$D$5:$D$204=B57)*(Накладные!$E$5:$E$204=Справочник!$B$4)*(Накладные!$G$5:$G$204="Расход")*(Накладные!$F$5:$F$204))))</f>
        <v/>
      </c>
      <c r="D57" s="8">
        <f>IF(A57="","",IF(B57="",SUMPRODUCT((Накладные!$C$5:$C$204=A57)*(Накладные!$E$5:$E$204=Справочник!$B$5)*(Накладные!$G$5:$G$204="Приход")*(Накладные!$F$5:$F$204))-SUMPRODUCT((Накладные!$C$5:$C$204=A57)*(Накладные!$E$5:$E$204=Справочник!$B$5)*(Накладные!$G$5:$G$204="Расход")*(Накладные!$F$5:$F$204)),SUMPRODUCT((Накладные!$C$5:$C$204=A57)*(Накладные!$D$5:$D$204=B57)*(Накладные!$E$5:$E$204=Справочник!$B$5)*(Накладные!$G$5:$G$204="Приход")*(Накладные!$F$5:$F$204))-SUMPRODUCT((Накладные!$C$5:$C$204=A57)*(Накладные!$D$5:$D$204=B57)*(Накладные!$E$5:$E$204=Справочник!$B$5)*(Накладные!$G$5:$G$204="Расход")*(Накладные!$F$5:$F$204))))</f>
        <v/>
      </c>
      <c r="E57" s="8">
        <f>IF(A57="","",C57+D57)</f>
        <v/>
      </c>
    </row>
    <row r="58">
      <c r="A58" s="7">
        <f>IF(Справочник!A63="","",Справочник!A63)</f>
        <v/>
      </c>
      <c r="B58" s="7">
        <f>IF(Справочник!B63="","",Справочник!B63)</f>
        <v/>
      </c>
      <c r="C58" s="8">
        <f>IF(A58="","",IF(B58="",SUMPRODUCT((Накладные!$C$5:$C$204=A58)*(Накладные!$E$5:$E$204=Справочник!$B$4)*(Накладные!$G$5:$G$204="Приход")*(Накладные!$F$5:$F$204))-SUMPRODUCT((Накладные!$C$5:$C$204=A58)*(Накладные!$E$5:$E$204=Справочник!$B$4)*(Накладные!$G$5:$G$204="Расход")*(Накладные!$F$5:$F$204)),SUMPRODUCT((Накладные!$C$5:$C$204=A58)*(Накладные!$D$5:$D$204=B58)*(Накладные!$E$5:$E$204=Справочник!$B$4)*(Накладные!$G$5:$G$204="Приход")*(Накладные!$F$5:$F$204))-SUMPRODUCT((Накладные!$C$5:$C$204=A58)*(Накладные!$D$5:$D$204=B58)*(Накладные!$E$5:$E$204=Справочник!$B$4)*(Накладные!$G$5:$G$204="Расход")*(Накладные!$F$5:$F$204))))</f>
        <v/>
      </c>
      <c r="D58" s="8">
        <f>IF(A58="","",IF(B58="",SUMPRODUCT((Накладные!$C$5:$C$204=A58)*(Накладные!$E$5:$E$204=Справочник!$B$5)*(Накладные!$G$5:$G$204="Приход")*(Накладные!$F$5:$F$204))-SUMPRODUCT((Накладные!$C$5:$C$204=A58)*(Накладные!$E$5:$E$204=Справочник!$B$5)*(Накладные!$G$5:$G$204="Расход")*(Накладные!$F$5:$F$204)),SUMPRODUCT((Накладные!$C$5:$C$204=A58)*(Накладные!$D$5:$D$204=B58)*(Накладные!$E$5:$E$204=Справочник!$B$5)*(Накладные!$G$5:$G$204="Приход")*(Накладные!$F$5:$F$204))-SUMPRODUCT((Накладные!$C$5:$C$204=A58)*(Накладные!$D$5:$D$204=B58)*(Накладные!$E$5:$E$204=Справочник!$B$5)*(Накладные!$G$5:$G$204="Расход")*(Накладные!$F$5:$F$204))))</f>
        <v/>
      </c>
      <c r="E58" s="8">
        <f>IF(A58="","",C58+D58)</f>
        <v/>
      </c>
    </row>
    <row r="59">
      <c r="A59" s="7">
        <f>IF(Справочник!A64="","",Справочник!A64)</f>
        <v/>
      </c>
      <c r="B59" s="7">
        <f>IF(Справочник!B64="","",Справочник!B64)</f>
        <v/>
      </c>
      <c r="C59" s="8">
        <f>IF(A59="","",IF(B59="",SUMPRODUCT((Накладные!$C$5:$C$204=A59)*(Накладные!$E$5:$E$204=Справочник!$B$4)*(Накладные!$G$5:$G$204="Приход")*(Накладные!$F$5:$F$204))-SUMPRODUCT((Накладные!$C$5:$C$204=A59)*(Накладные!$E$5:$E$204=Справочник!$B$4)*(Накладные!$G$5:$G$204="Расход")*(Накладные!$F$5:$F$204)),SUMPRODUCT((Накладные!$C$5:$C$204=A59)*(Накладные!$D$5:$D$204=B59)*(Накладные!$E$5:$E$204=Справочник!$B$4)*(Накладные!$G$5:$G$204="Приход")*(Накладные!$F$5:$F$204))-SUMPRODUCT((Накладные!$C$5:$C$204=A59)*(Накладные!$D$5:$D$204=B59)*(Накладные!$E$5:$E$204=Справочник!$B$4)*(Накладные!$G$5:$G$204="Расход")*(Накладные!$F$5:$F$204))))</f>
        <v/>
      </c>
      <c r="D59" s="8">
        <f>IF(A59="","",IF(B59="",SUMPRODUCT((Накладные!$C$5:$C$204=A59)*(Накладные!$E$5:$E$204=Справочник!$B$5)*(Накладные!$G$5:$G$204="Приход")*(Накладные!$F$5:$F$204))-SUMPRODUCT((Накладные!$C$5:$C$204=A59)*(Накладные!$E$5:$E$204=Справочник!$B$5)*(Накладные!$G$5:$G$204="Расход")*(Накладные!$F$5:$F$204)),SUMPRODUCT((Накладные!$C$5:$C$204=A59)*(Накладные!$D$5:$D$204=B59)*(Накладные!$E$5:$E$204=Справочник!$B$5)*(Накладные!$G$5:$G$204="Приход")*(Накладные!$F$5:$F$204))-SUMPRODUCT((Накладные!$C$5:$C$204=A59)*(Накладные!$D$5:$D$204=B59)*(Накладные!$E$5:$E$204=Справочник!$B$5)*(Накладные!$G$5:$G$204="Расход")*(Накладные!$F$5:$F$204))))</f>
        <v/>
      </c>
      <c r="E59" s="8">
        <f>IF(A59="","",C59+D59)</f>
        <v/>
      </c>
    </row>
    <row r="60">
      <c r="A60" s="7">
        <f>IF(Справочник!A65="","",Справочник!A65)</f>
        <v/>
      </c>
      <c r="B60" s="7">
        <f>IF(Справочник!B65="","",Справочник!B65)</f>
        <v/>
      </c>
      <c r="C60" s="8">
        <f>IF(A60="","",IF(B60="",SUMPRODUCT((Накладные!$C$5:$C$204=A60)*(Накладные!$E$5:$E$204=Справочник!$B$4)*(Накладные!$G$5:$G$204="Приход")*(Накладные!$F$5:$F$204))-SUMPRODUCT((Накладные!$C$5:$C$204=A60)*(Накладные!$E$5:$E$204=Справочник!$B$4)*(Накладные!$G$5:$G$204="Расход")*(Накладные!$F$5:$F$204)),SUMPRODUCT((Накладные!$C$5:$C$204=A60)*(Накладные!$D$5:$D$204=B60)*(Накладные!$E$5:$E$204=Справочник!$B$4)*(Накладные!$G$5:$G$204="Приход")*(Накладные!$F$5:$F$204))-SUMPRODUCT((Накладные!$C$5:$C$204=A60)*(Накладные!$D$5:$D$204=B60)*(Накладные!$E$5:$E$204=Справочник!$B$4)*(Накладные!$G$5:$G$204="Расход")*(Накладные!$F$5:$F$204))))</f>
        <v/>
      </c>
      <c r="D60" s="8">
        <f>IF(A60="","",IF(B60="",SUMPRODUCT((Накладные!$C$5:$C$204=A60)*(Накладные!$E$5:$E$204=Справочник!$B$5)*(Накладные!$G$5:$G$204="Приход")*(Накладные!$F$5:$F$204))-SUMPRODUCT((Накладные!$C$5:$C$204=A60)*(Накладные!$E$5:$E$204=Справочник!$B$5)*(Накладные!$G$5:$G$204="Расход")*(Накладные!$F$5:$F$204)),SUMPRODUCT((Накладные!$C$5:$C$204=A60)*(Накладные!$D$5:$D$204=B60)*(Накладные!$E$5:$E$204=Справочник!$B$5)*(Накладные!$G$5:$G$204="Приход")*(Накладные!$F$5:$F$204))-SUMPRODUCT((Накладные!$C$5:$C$204=A60)*(Накладные!$D$5:$D$204=B60)*(Накладные!$E$5:$E$204=Справочник!$B$5)*(Накладные!$G$5:$G$204="Расход")*(Накладные!$F$5:$F$204))))</f>
        <v/>
      </c>
      <c r="E60" s="8">
        <f>IF(A60="","",C60+D60)</f>
        <v/>
      </c>
    </row>
    <row r="61">
      <c r="A61" s="7">
        <f>IF(Справочник!A66="","",Справочник!A66)</f>
        <v/>
      </c>
      <c r="B61" s="7">
        <f>IF(Справочник!B66="","",Справочник!B66)</f>
        <v/>
      </c>
      <c r="C61" s="8">
        <f>IF(A61="","",IF(B61="",SUMPRODUCT((Накладные!$C$5:$C$204=A61)*(Накладные!$E$5:$E$204=Справочник!$B$4)*(Накладные!$G$5:$G$204="Приход")*(Накладные!$F$5:$F$204))-SUMPRODUCT((Накладные!$C$5:$C$204=A61)*(Накладные!$E$5:$E$204=Справочник!$B$4)*(Накладные!$G$5:$G$204="Расход")*(Накладные!$F$5:$F$204)),SUMPRODUCT((Накладные!$C$5:$C$204=A61)*(Накладные!$D$5:$D$204=B61)*(Накладные!$E$5:$E$204=Справочник!$B$4)*(Накладные!$G$5:$G$204="Приход")*(Накладные!$F$5:$F$204))-SUMPRODUCT((Накладные!$C$5:$C$204=A61)*(Накладные!$D$5:$D$204=B61)*(Накладные!$E$5:$E$204=Справочник!$B$4)*(Накладные!$G$5:$G$204="Расход")*(Накладные!$F$5:$F$204))))</f>
        <v/>
      </c>
      <c r="D61" s="8">
        <f>IF(A61="","",IF(B61="",SUMPRODUCT((Накладные!$C$5:$C$204=A61)*(Накладные!$E$5:$E$204=Справочник!$B$5)*(Накладные!$G$5:$G$204="Приход")*(Накладные!$F$5:$F$204))-SUMPRODUCT((Накладные!$C$5:$C$204=A61)*(Накладные!$E$5:$E$204=Справочник!$B$5)*(Накладные!$G$5:$G$204="Расход")*(Накладные!$F$5:$F$204)),SUMPRODUCT((Накладные!$C$5:$C$204=A61)*(Накладные!$D$5:$D$204=B61)*(Накладные!$E$5:$E$204=Справочник!$B$5)*(Накладные!$G$5:$G$204="Приход")*(Накладные!$F$5:$F$204))-SUMPRODUCT((Накладные!$C$5:$C$204=A61)*(Накладные!$D$5:$D$204=B61)*(Накладные!$E$5:$E$204=Справочник!$B$5)*(Накладные!$G$5:$G$204="Расход")*(Накладные!$F$5:$F$204))))</f>
        <v/>
      </c>
      <c r="E61" s="8">
        <f>IF(A61="","",C61+D61)</f>
        <v/>
      </c>
    </row>
    <row r="62">
      <c r="A62" s="7">
        <f>IF(Справочник!A67="","",Справочник!A67)</f>
        <v/>
      </c>
      <c r="B62" s="7">
        <f>IF(Справочник!B67="","",Справочник!B67)</f>
        <v/>
      </c>
      <c r="C62" s="8">
        <f>IF(A62="","",IF(B62="",SUMPRODUCT((Накладные!$C$5:$C$204=A62)*(Накладные!$E$5:$E$204=Справочник!$B$4)*(Накладные!$G$5:$G$204="Приход")*(Накладные!$F$5:$F$204))-SUMPRODUCT((Накладные!$C$5:$C$204=A62)*(Накладные!$E$5:$E$204=Справочник!$B$4)*(Накладные!$G$5:$G$204="Расход")*(Накладные!$F$5:$F$204)),SUMPRODUCT((Накладные!$C$5:$C$204=A62)*(Накладные!$D$5:$D$204=B62)*(Накладные!$E$5:$E$204=Справочник!$B$4)*(Накладные!$G$5:$G$204="Приход")*(Накладные!$F$5:$F$204))-SUMPRODUCT((Накладные!$C$5:$C$204=A62)*(Накладные!$D$5:$D$204=B62)*(Накладные!$E$5:$E$204=Справочник!$B$4)*(Накладные!$G$5:$G$204="Расход")*(Накладные!$F$5:$F$204))))</f>
        <v/>
      </c>
      <c r="D62" s="8">
        <f>IF(A62="","",IF(B62="",SUMPRODUCT((Накладные!$C$5:$C$204=A62)*(Накладные!$E$5:$E$204=Справочник!$B$5)*(Накладные!$G$5:$G$204="Приход")*(Накладные!$F$5:$F$204))-SUMPRODUCT((Накладные!$C$5:$C$204=A62)*(Накладные!$E$5:$E$204=Справочник!$B$5)*(Накладные!$G$5:$G$204="Расход")*(Накладные!$F$5:$F$204)),SUMPRODUCT((Накладные!$C$5:$C$204=A62)*(Накладные!$D$5:$D$204=B62)*(Накладные!$E$5:$E$204=Справочник!$B$5)*(Накладные!$G$5:$G$204="Приход")*(Накладные!$F$5:$F$204))-SUMPRODUCT((Накладные!$C$5:$C$204=A62)*(Накладные!$D$5:$D$204=B62)*(Накладные!$E$5:$E$204=Справочник!$B$5)*(Накладные!$G$5:$G$204="Расход")*(Накладные!$F$5:$F$204))))</f>
        <v/>
      </c>
      <c r="E62" s="8">
        <f>IF(A62="","",C62+D62)</f>
        <v/>
      </c>
    </row>
    <row r="63">
      <c r="A63" s="7">
        <f>IF(Справочник!A68="","",Справочник!A68)</f>
        <v/>
      </c>
      <c r="B63" s="7">
        <f>IF(Справочник!B68="","",Справочник!B68)</f>
        <v/>
      </c>
      <c r="C63" s="8">
        <f>IF(A63="","",IF(B63="",SUMPRODUCT((Накладные!$C$5:$C$204=A63)*(Накладные!$E$5:$E$204=Справочник!$B$4)*(Накладные!$G$5:$G$204="Приход")*(Накладные!$F$5:$F$204))-SUMPRODUCT((Накладные!$C$5:$C$204=A63)*(Накладные!$E$5:$E$204=Справочник!$B$4)*(Накладные!$G$5:$G$204="Расход")*(Накладные!$F$5:$F$204)),SUMPRODUCT((Накладные!$C$5:$C$204=A63)*(Накладные!$D$5:$D$204=B63)*(Накладные!$E$5:$E$204=Справочник!$B$4)*(Накладные!$G$5:$G$204="Приход")*(Накладные!$F$5:$F$204))-SUMPRODUCT((Накладные!$C$5:$C$204=A63)*(Накладные!$D$5:$D$204=B63)*(Накладные!$E$5:$E$204=Справочник!$B$4)*(Накладные!$G$5:$G$204="Расход")*(Накладные!$F$5:$F$204))))</f>
        <v/>
      </c>
      <c r="D63" s="8">
        <f>IF(A63="","",IF(B63="",SUMPRODUCT((Накладные!$C$5:$C$204=A63)*(Накладные!$E$5:$E$204=Справочник!$B$5)*(Накладные!$G$5:$G$204="Приход")*(Накладные!$F$5:$F$204))-SUMPRODUCT((Накладные!$C$5:$C$204=A63)*(Накладные!$E$5:$E$204=Справочник!$B$5)*(Накладные!$G$5:$G$204="Расход")*(Накладные!$F$5:$F$204)),SUMPRODUCT((Накладные!$C$5:$C$204=A63)*(Накладные!$D$5:$D$204=B63)*(Накладные!$E$5:$E$204=Справочник!$B$5)*(Накладные!$G$5:$G$204="Приход")*(Накладные!$F$5:$F$204))-SUMPRODUCT((Накладные!$C$5:$C$204=A63)*(Накладные!$D$5:$D$204=B63)*(Накладные!$E$5:$E$204=Справочник!$B$5)*(Накладные!$G$5:$G$204="Расход")*(Накладные!$F$5:$F$204))))</f>
        <v/>
      </c>
      <c r="E63" s="8">
        <f>IF(A63="","",C63+D63)</f>
        <v/>
      </c>
    </row>
    <row r="64">
      <c r="A64" s="7">
        <f>IF(Справочник!A69="","",Справочник!A69)</f>
        <v/>
      </c>
      <c r="B64" s="7">
        <f>IF(Справочник!B69="","",Справочник!B69)</f>
        <v/>
      </c>
      <c r="C64" s="8">
        <f>IF(A64="","",IF(B64="",SUMPRODUCT((Накладные!$C$5:$C$204=A64)*(Накладные!$E$5:$E$204=Справочник!$B$4)*(Накладные!$G$5:$G$204="Приход")*(Накладные!$F$5:$F$204))-SUMPRODUCT((Накладные!$C$5:$C$204=A64)*(Накладные!$E$5:$E$204=Справочник!$B$4)*(Накладные!$G$5:$G$204="Расход")*(Накладные!$F$5:$F$204)),SUMPRODUCT((Накладные!$C$5:$C$204=A64)*(Накладные!$D$5:$D$204=B64)*(Накладные!$E$5:$E$204=Справочник!$B$4)*(Накладные!$G$5:$G$204="Приход")*(Накладные!$F$5:$F$204))-SUMPRODUCT((Накладные!$C$5:$C$204=A64)*(Накладные!$D$5:$D$204=B64)*(Накладные!$E$5:$E$204=Справочник!$B$4)*(Накладные!$G$5:$G$204="Расход")*(Накладные!$F$5:$F$204))))</f>
        <v/>
      </c>
      <c r="D64" s="8">
        <f>IF(A64="","",IF(B64="",SUMPRODUCT((Накладные!$C$5:$C$204=A64)*(Накладные!$E$5:$E$204=Справочник!$B$5)*(Накладные!$G$5:$G$204="Приход")*(Накладные!$F$5:$F$204))-SUMPRODUCT((Накладные!$C$5:$C$204=A64)*(Накладные!$E$5:$E$204=Справочник!$B$5)*(Накладные!$G$5:$G$204="Расход")*(Накладные!$F$5:$F$204)),SUMPRODUCT((Накладные!$C$5:$C$204=A64)*(Накладные!$D$5:$D$204=B64)*(Накладные!$E$5:$E$204=Справочник!$B$5)*(Накладные!$G$5:$G$204="Приход")*(Накладные!$F$5:$F$204))-SUMPRODUCT((Накладные!$C$5:$C$204=A64)*(Накладные!$D$5:$D$204=B64)*(Накладные!$E$5:$E$204=Справочник!$B$5)*(Накладные!$G$5:$G$204="Расход")*(Накладные!$F$5:$F$204))))</f>
        <v/>
      </c>
      <c r="E64" s="8">
        <f>IF(A64="","",C64+D64)</f>
        <v/>
      </c>
    </row>
    <row r="65">
      <c r="A65" s="7">
        <f>IF(Справочник!A70="","",Справочник!A70)</f>
        <v/>
      </c>
      <c r="B65" s="7">
        <f>IF(Справочник!B70="","",Справочник!B70)</f>
        <v/>
      </c>
      <c r="C65" s="8">
        <f>IF(A65="","",IF(B65="",SUMPRODUCT((Накладные!$C$5:$C$204=A65)*(Накладные!$E$5:$E$204=Справочник!$B$4)*(Накладные!$G$5:$G$204="Приход")*(Накладные!$F$5:$F$204))-SUMPRODUCT((Накладные!$C$5:$C$204=A65)*(Накладные!$E$5:$E$204=Справочник!$B$4)*(Накладные!$G$5:$G$204="Расход")*(Накладные!$F$5:$F$204)),SUMPRODUCT((Накладные!$C$5:$C$204=A65)*(Накладные!$D$5:$D$204=B65)*(Накладные!$E$5:$E$204=Справочник!$B$4)*(Накладные!$G$5:$G$204="Приход")*(Накладные!$F$5:$F$204))-SUMPRODUCT((Накладные!$C$5:$C$204=A65)*(Накладные!$D$5:$D$204=B65)*(Накладные!$E$5:$E$204=Справочник!$B$4)*(Накладные!$G$5:$G$204="Расход")*(Накладные!$F$5:$F$204))))</f>
        <v/>
      </c>
      <c r="D65" s="8">
        <f>IF(A65="","",IF(B65="",SUMPRODUCT((Накладные!$C$5:$C$204=A65)*(Накладные!$E$5:$E$204=Справочник!$B$5)*(Накладные!$G$5:$G$204="Приход")*(Накладные!$F$5:$F$204))-SUMPRODUCT((Накладные!$C$5:$C$204=A65)*(Накладные!$E$5:$E$204=Справочник!$B$5)*(Накладные!$G$5:$G$204="Расход")*(Накладные!$F$5:$F$204)),SUMPRODUCT((Накладные!$C$5:$C$204=A65)*(Накладные!$D$5:$D$204=B65)*(Накладные!$E$5:$E$204=Справочник!$B$5)*(Накладные!$G$5:$G$204="Приход")*(Накладные!$F$5:$F$204))-SUMPRODUCT((Накладные!$C$5:$C$204=A65)*(Накладные!$D$5:$D$204=B65)*(Накладные!$E$5:$E$204=Справочник!$B$5)*(Накладные!$G$5:$G$204="Расход")*(Накладные!$F$5:$F$204))))</f>
        <v/>
      </c>
      <c r="E65" s="8">
        <f>IF(A65="","",C65+D65)</f>
        <v/>
      </c>
    </row>
    <row r="66">
      <c r="A66" s="7">
        <f>IF(Справочник!A71="","",Справочник!A71)</f>
        <v/>
      </c>
      <c r="B66" s="7">
        <f>IF(Справочник!B71="","",Справочник!B71)</f>
        <v/>
      </c>
      <c r="C66" s="8">
        <f>IF(A66="","",IF(B66="",SUMPRODUCT((Накладные!$C$5:$C$204=A66)*(Накладные!$E$5:$E$204=Справочник!$B$4)*(Накладные!$G$5:$G$204="Приход")*(Накладные!$F$5:$F$204))-SUMPRODUCT((Накладные!$C$5:$C$204=A66)*(Накладные!$E$5:$E$204=Справочник!$B$4)*(Накладные!$G$5:$G$204="Расход")*(Накладные!$F$5:$F$204)),SUMPRODUCT((Накладные!$C$5:$C$204=A66)*(Накладные!$D$5:$D$204=B66)*(Накладные!$E$5:$E$204=Справочник!$B$4)*(Накладные!$G$5:$G$204="Приход")*(Накладные!$F$5:$F$204))-SUMPRODUCT((Накладные!$C$5:$C$204=A66)*(Накладные!$D$5:$D$204=B66)*(Накладные!$E$5:$E$204=Справочник!$B$4)*(Накладные!$G$5:$G$204="Расход")*(Накладные!$F$5:$F$204))))</f>
        <v/>
      </c>
      <c r="D66" s="8">
        <f>IF(A66="","",IF(B66="",SUMPRODUCT((Накладные!$C$5:$C$204=A66)*(Накладные!$E$5:$E$204=Справочник!$B$5)*(Накладные!$G$5:$G$204="Приход")*(Накладные!$F$5:$F$204))-SUMPRODUCT((Накладные!$C$5:$C$204=A66)*(Накладные!$E$5:$E$204=Справочник!$B$5)*(Накладные!$G$5:$G$204="Расход")*(Накладные!$F$5:$F$204)),SUMPRODUCT((Накладные!$C$5:$C$204=A66)*(Накладные!$D$5:$D$204=B66)*(Накладные!$E$5:$E$204=Справочник!$B$5)*(Накладные!$G$5:$G$204="Приход")*(Накладные!$F$5:$F$204))-SUMPRODUCT((Накладные!$C$5:$C$204=A66)*(Накладные!$D$5:$D$204=B66)*(Накладные!$E$5:$E$204=Справочник!$B$5)*(Накладные!$G$5:$G$204="Расход")*(Накладные!$F$5:$F$204))))</f>
        <v/>
      </c>
      <c r="E66" s="8">
        <f>IF(A66="","",C66+D66)</f>
        <v/>
      </c>
    </row>
    <row r="67">
      <c r="A67" s="7">
        <f>IF(Справочник!A72="","",Справочник!A72)</f>
        <v/>
      </c>
      <c r="B67" s="7">
        <f>IF(Справочник!B72="","",Справочник!B72)</f>
        <v/>
      </c>
      <c r="C67" s="8">
        <f>IF(A67="","",IF(B67="",SUMPRODUCT((Накладные!$C$5:$C$204=A67)*(Накладные!$E$5:$E$204=Справочник!$B$4)*(Накладные!$G$5:$G$204="Приход")*(Накладные!$F$5:$F$204))-SUMPRODUCT((Накладные!$C$5:$C$204=A67)*(Накладные!$E$5:$E$204=Справочник!$B$4)*(Накладные!$G$5:$G$204="Расход")*(Накладные!$F$5:$F$204)),SUMPRODUCT((Накладные!$C$5:$C$204=A67)*(Накладные!$D$5:$D$204=B67)*(Накладные!$E$5:$E$204=Справочник!$B$4)*(Накладные!$G$5:$G$204="Приход")*(Накладные!$F$5:$F$204))-SUMPRODUCT((Накладные!$C$5:$C$204=A67)*(Накладные!$D$5:$D$204=B67)*(Накладные!$E$5:$E$204=Справочник!$B$4)*(Накладные!$G$5:$G$204="Расход")*(Накладные!$F$5:$F$204))))</f>
        <v/>
      </c>
      <c r="D67" s="8">
        <f>IF(A67="","",IF(B67="",SUMPRODUCT((Накладные!$C$5:$C$204=A67)*(Накладные!$E$5:$E$204=Справочник!$B$5)*(Накладные!$G$5:$G$204="Приход")*(Накладные!$F$5:$F$204))-SUMPRODUCT((Накладные!$C$5:$C$204=A67)*(Накладные!$E$5:$E$204=Справочник!$B$5)*(Накладные!$G$5:$G$204="Расход")*(Накладные!$F$5:$F$204)),SUMPRODUCT((Накладные!$C$5:$C$204=A67)*(Накладные!$D$5:$D$204=B67)*(Накладные!$E$5:$E$204=Справочник!$B$5)*(Накладные!$G$5:$G$204="Приход")*(Накладные!$F$5:$F$204))-SUMPRODUCT((Накладные!$C$5:$C$204=A67)*(Накладные!$D$5:$D$204=B67)*(Накладные!$E$5:$E$204=Справочник!$B$5)*(Накладные!$G$5:$G$204="Расход")*(Накладные!$F$5:$F$204))))</f>
        <v/>
      </c>
      <c r="E67" s="8">
        <f>IF(A67="","",C67+D67)</f>
        <v/>
      </c>
    </row>
    <row r="68">
      <c r="A68" s="7">
        <f>IF(Справочник!A73="","",Справочник!A73)</f>
        <v/>
      </c>
      <c r="B68" s="7">
        <f>IF(Справочник!B73="","",Справочник!B73)</f>
        <v/>
      </c>
      <c r="C68" s="8">
        <f>IF(A68="","",IF(B68="",SUMPRODUCT((Накладные!$C$5:$C$204=A68)*(Накладные!$E$5:$E$204=Справочник!$B$4)*(Накладные!$G$5:$G$204="Приход")*(Накладные!$F$5:$F$204))-SUMPRODUCT((Накладные!$C$5:$C$204=A68)*(Накладные!$E$5:$E$204=Справочник!$B$4)*(Накладные!$G$5:$G$204="Расход")*(Накладные!$F$5:$F$204)),SUMPRODUCT((Накладные!$C$5:$C$204=A68)*(Накладные!$D$5:$D$204=B68)*(Накладные!$E$5:$E$204=Справочник!$B$4)*(Накладные!$G$5:$G$204="Приход")*(Накладные!$F$5:$F$204))-SUMPRODUCT((Накладные!$C$5:$C$204=A68)*(Накладные!$D$5:$D$204=B68)*(Накладные!$E$5:$E$204=Справочник!$B$4)*(Накладные!$G$5:$G$204="Расход")*(Накладные!$F$5:$F$204))))</f>
        <v/>
      </c>
      <c r="D68" s="8">
        <f>IF(A68="","",IF(B68="",SUMPRODUCT((Накладные!$C$5:$C$204=A68)*(Накладные!$E$5:$E$204=Справочник!$B$5)*(Накладные!$G$5:$G$204="Приход")*(Накладные!$F$5:$F$204))-SUMPRODUCT((Накладные!$C$5:$C$204=A68)*(Накладные!$E$5:$E$204=Справочник!$B$5)*(Накладные!$G$5:$G$204="Расход")*(Накладные!$F$5:$F$204)),SUMPRODUCT((Накладные!$C$5:$C$204=A68)*(Накладные!$D$5:$D$204=B68)*(Накладные!$E$5:$E$204=Справочник!$B$5)*(Накладные!$G$5:$G$204="Приход")*(Накладные!$F$5:$F$204))-SUMPRODUCT((Накладные!$C$5:$C$204=A68)*(Накладные!$D$5:$D$204=B68)*(Накладные!$E$5:$E$204=Справочник!$B$5)*(Накладные!$G$5:$G$204="Расход")*(Накладные!$F$5:$F$204))))</f>
        <v/>
      </c>
      <c r="E68" s="8">
        <f>IF(A68="","",C68+D68)</f>
        <v/>
      </c>
    </row>
    <row r="69">
      <c r="A69" s="7">
        <f>IF(Справочник!A74="","",Справочник!A74)</f>
        <v/>
      </c>
      <c r="B69" s="7">
        <f>IF(Справочник!B74="","",Справочник!B74)</f>
        <v/>
      </c>
      <c r="C69" s="8">
        <f>IF(A69="","",IF(B69="",SUMPRODUCT((Накладные!$C$5:$C$204=A69)*(Накладные!$E$5:$E$204=Справочник!$B$4)*(Накладные!$G$5:$G$204="Приход")*(Накладные!$F$5:$F$204))-SUMPRODUCT((Накладные!$C$5:$C$204=A69)*(Накладные!$E$5:$E$204=Справочник!$B$4)*(Накладные!$G$5:$G$204="Расход")*(Накладные!$F$5:$F$204)),SUMPRODUCT((Накладные!$C$5:$C$204=A69)*(Накладные!$D$5:$D$204=B69)*(Накладные!$E$5:$E$204=Справочник!$B$4)*(Накладные!$G$5:$G$204="Приход")*(Накладные!$F$5:$F$204))-SUMPRODUCT((Накладные!$C$5:$C$204=A69)*(Накладные!$D$5:$D$204=B69)*(Накладные!$E$5:$E$204=Справочник!$B$4)*(Накладные!$G$5:$G$204="Расход")*(Накладные!$F$5:$F$204))))</f>
        <v/>
      </c>
      <c r="D69" s="8">
        <f>IF(A69="","",IF(B69="",SUMPRODUCT((Накладные!$C$5:$C$204=A69)*(Накладные!$E$5:$E$204=Справочник!$B$5)*(Накладные!$G$5:$G$204="Приход")*(Накладные!$F$5:$F$204))-SUMPRODUCT((Накладные!$C$5:$C$204=A69)*(Накладные!$E$5:$E$204=Справочник!$B$5)*(Накладные!$G$5:$G$204="Расход")*(Накладные!$F$5:$F$204)),SUMPRODUCT((Накладные!$C$5:$C$204=A69)*(Накладные!$D$5:$D$204=B69)*(Накладные!$E$5:$E$204=Справочник!$B$5)*(Накладные!$G$5:$G$204="Приход")*(Накладные!$F$5:$F$204))-SUMPRODUCT((Накладные!$C$5:$C$204=A69)*(Накладные!$D$5:$D$204=B69)*(Накладные!$E$5:$E$204=Справочник!$B$5)*(Накладные!$G$5:$G$204="Расход")*(Накладные!$F$5:$F$204))))</f>
        <v/>
      </c>
      <c r="E69" s="8">
        <f>IF(A69="","",C69+D69)</f>
        <v/>
      </c>
    </row>
    <row r="70">
      <c r="A70" s="7">
        <f>IF(Справочник!A75="","",Справочник!A75)</f>
        <v/>
      </c>
      <c r="B70" s="7">
        <f>IF(Справочник!B75="","",Справочник!B75)</f>
        <v/>
      </c>
      <c r="C70" s="8">
        <f>IF(A70="","",IF(B70="",SUMPRODUCT((Накладные!$C$5:$C$204=A70)*(Накладные!$E$5:$E$204=Справочник!$B$4)*(Накладные!$G$5:$G$204="Приход")*(Накладные!$F$5:$F$204))-SUMPRODUCT((Накладные!$C$5:$C$204=A70)*(Накладные!$E$5:$E$204=Справочник!$B$4)*(Накладные!$G$5:$G$204="Расход")*(Накладные!$F$5:$F$204)),SUMPRODUCT((Накладные!$C$5:$C$204=A70)*(Накладные!$D$5:$D$204=B70)*(Накладные!$E$5:$E$204=Справочник!$B$4)*(Накладные!$G$5:$G$204="Приход")*(Накладные!$F$5:$F$204))-SUMPRODUCT((Накладные!$C$5:$C$204=A70)*(Накладные!$D$5:$D$204=B70)*(Накладные!$E$5:$E$204=Справочник!$B$4)*(Накладные!$G$5:$G$204="Расход")*(Накладные!$F$5:$F$204))))</f>
        <v/>
      </c>
      <c r="D70" s="8">
        <f>IF(A70="","",IF(B70="",SUMPRODUCT((Накладные!$C$5:$C$204=A70)*(Накладные!$E$5:$E$204=Справочник!$B$5)*(Накладные!$G$5:$G$204="Приход")*(Накладные!$F$5:$F$204))-SUMPRODUCT((Накладные!$C$5:$C$204=A70)*(Накладные!$E$5:$E$204=Справочник!$B$5)*(Накладные!$G$5:$G$204="Расход")*(Накладные!$F$5:$F$204)),SUMPRODUCT((Накладные!$C$5:$C$204=A70)*(Накладные!$D$5:$D$204=B70)*(Накладные!$E$5:$E$204=Справочник!$B$5)*(Накладные!$G$5:$G$204="Приход")*(Накладные!$F$5:$F$204))-SUMPRODUCT((Накладные!$C$5:$C$204=A70)*(Накладные!$D$5:$D$204=B70)*(Накладные!$E$5:$E$204=Справочник!$B$5)*(Накладные!$G$5:$G$204="Расход")*(Накладные!$F$5:$F$204))))</f>
        <v/>
      </c>
      <c r="E70" s="8">
        <f>IF(A70="","",C70+D70)</f>
        <v/>
      </c>
    </row>
    <row r="71">
      <c r="A71" s="7">
        <f>IF(Справочник!A76="","",Справочник!A76)</f>
        <v/>
      </c>
      <c r="B71" s="7">
        <f>IF(Справочник!B76="","",Справочник!B76)</f>
        <v/>
      </c>
      <c r="C71" s="8">
        <f>IF(A71="","",IF(B71="",SUMPRODUCT((Накладные!$C$5:$C$204=A71)*(Накладные!$E$5:$E$204=Справочник!$B$4)*(Накладные!$G$5:$G$204="Приход")*(Накладные!$F$5:$F$204))-SUMPRODUCT((Накладные!$C$5:$C$204=A71)*(Накладные!$E$5:$E$204=Справочник!$B$4)*(Накладные!$G$5:$G$204="Расход")*(Накладные!$F$5:$F$204)),SUMPRODUCT((Накладные!$C$5:$C$204=A71)*(Накладные!$D$5:$D$204=B71)*(Накладные!$E$5:$E$204=Справочник!$B$4)*(Накладные!$G$5:$G$204="Приход")*(Накладные!$F$5:$F$204))-SUMPRODUCT((Накладные!$C$5:$C$204=A71)*(Накладные!$D$5:$D$204=B71)*(Накладные!$E$5:$E$204=Справочник!$B$4)*(Накладные!$G$5:$G$204="Расход")*(Накладные!$F$5:$F$204))))</f>
        <v/>
      </c>
      <c r="D71" s="8">
        <f>IF(A71="","",IF(B71="",SUMPRODUCT((Накладные!$C$5:$C$204=A71)*(Накладные!$E$5:$E$204=Справочник!$B$5)*(Накладные!$G$5:$G$204="Приход")*(Накладные!$F$5:$F$204))-SUMPRODUCT((Накладные!$C$5:$C$204=A71)*(Накладные!$E$5:$E$204=Справочник!$B$5)*(Накладные!$G$5:$G$204="Расход")*(Накладные!$F$5:$F$204)),SUMPRODUCT((Накладные!$C$5:$C$204=A71)*(Накладные!$D$5:$D$204=B71)*(Накладные!$E$5:$E$204=Справочник!$B$5)*(Накладные!$G$5:$G$204="Приход")*(Накладные!$F$5:$F$204))-SUMPRODUCT((Накладные!$C$5:$C$204=A71)*(Накладные!$D$5:$D$204=B71)*(Накладные!$E$5:$E$204=Справочник!$B$5)*(Накладные!$G$5:$G$204="Расход")*(Накладные!$F$5:$F$204))))</f>
        <v/>
      </c>
      <c r="E71" s="8">
        <f>IF(A71="","",C71+D71)</f>
        <v/>
      </c>
    </row>
    <row r="72">
      <c r="A72" s="7">
        <f>IF(Справочник!A77="","",Справочник!A77)</f>
        <v/>
      </c>
      <c r="B72" s="7">
        <f>IF(Справочник!B77="","",Справочник!B77)</f>
        <v/>
      </c>
      <c r="C72" s="8">
        <f>IF(A72="","",IF(B72="",SUMPRODUCT((Накладные!$C$5:$C$204=A72)*(Накладные!$E$5:$E$204=Справочник!$B$4)*(Накладные!$G$5:$G$204="Приход")*(Накладные!$F$5:$F$204))-SUMPRODUCT((Накладные!$C$5:$C$204=A72)*(Накладные!$E$5:$E$204=Справочник!$B$4)*(Накладные!$G$5:$G$204="Расход")*(Накладные!$F$5:$F$204)),SUMPRODUCT((Накладные!$C$5:$C$204=A72)*(Накладные!$D$5:$D$204=B72)*(Накладные!$E$5:$E$204=Справочник!$B$4)*(Накладные!$G$5:$G$204="Приход")*(Накладные!$F$5:$F$204))-SUMPRODUCT((Накладные!$C$5:$C$204=A72)*(Накладные!$D$5:$D$204=B72)*(Накладные!$E$5:$E$204=Справочник!$B$4)*(Накладные!$G$5:$G$204="Расход")*(Накладные!$F$5:$F$204))))</f>
        <v/>
      </c>
      <c r="D72" s="8">
        <f>IF(A72="","",IF(B72="",SUMPRODUCT((Накладные!$C$5:$C$204=A72)*(Накладные!$E$5:$E$204=Справочник!$B$5)*(Накладные!$G$5:$G$204="Приход")*(Накладные!$F$5:$F$204))-SUMPRODUCT((Накладные!$C$5:$C$204=A72)*(Накладные!$E$5:$E$204=Справочник!$B$5)*(Накладные!$G$5:$G$204="Расход")*(Накладные!$F$5:$F$204)),SUMPRODUCT((Накладные!$C$5:$C$204=A72)*(Накладные!$D$5:$D$204=B72)*(Накладные!$E$5:$E$204=Справочник!$B$5)*(Накладные!$G$5:$G$204="Приход")*(Накладные!$F$5:$F$204))-SUMPRODUCT((Накладные!$C$5:$C$204=A72)*(Накладные!$D$5:$D$204=B72)*(Накладные!$E$5:$E$204=Справочник!$B$5)*(Накладные!$G$5:$G$204="Расход")*(Накладные!$F$5:$F$204))))</f>
        <v/>
      </c>
      <c r="E72" s="8">
        <f>IF(A72="","",C72+D72)</f>
        <v/>
      </c>
    </row>
    <row r="73">
      <c r="A73" s="7">
        <f>IF(Справочник!A78="","",Справочник!A78)</f>
        <v/>
      </c>
      <c r="B73" s="7">
        <f>IF(Справочник!B78="","",Справочник!B78)</f>
        <v/>
      </c>
      <c r="C73" s="8">
        <f>IF(A73="","",IF(B73="",SUMPRODUCT((Накладные!$C$5:$C$204=A73)*(Накладные!$E$5:$E$204=Справочник!$B$4)*(Накладные!$G$5:$G$204="Приход")*(Накладные!$F$5:$F$204))-SUMPRODUCT((Накладные!$C$5:$C$204=A73)*(Накладные!$E$5:$E$204=Справочник!$B$4)*(Накладные!$G$5:$G$204="Расход")*(Накладные!$F$5:$F$204)),SUMPRODUCT((Накладные!$C$5:$C$204=A73)*(Накладные!$D$5:$D$204=B73)*(Накладные!$E$5:$E$204=Справочник!$B$4)*(Накладные!$G$5:$G$204="Приход")*(Накладные!$F$5:$F$204))-SUMPRODUCT((Накладные!$C$5:$C$204=A73)*(Накладные!$D$5:$D$204=B73)*(Накладные!$E$5:$E$204=Справочник!$B$4)*(Накладные!$G$5:$G$204="Расход")*(Накладные!$F$5:$F$204))))</f>
        <v/>
      </c>
      <c r="D73" s="8">
        <f>IF(A73="","",IF(B73="",SUMPRODUCT((Накладные!$C$5:$C$204=A73)*(Накладные!$E$5:$E$204=Справочник!$B$5)*(Накладные!$G$5:$G$204="Приход")*(Накладные!$F$5:$F$204))-SUMPRODUCT((Накладные!$C$5:$C$204=A73)*(Накладные!$E$5:$E$204=Справочник!$B$5)*(Накладные!$G$5:$G$204="Расход")*(Накладные!$F$5:$F$204)),SUMPRODUCT((Накладные!$C$5:$C$204=A73)*(Накладные!$D$5:$D$204=B73)*(Накладные!$E$5:$E$204=Справочник!$B$5)*(Накладные!$G$5:$G$204="Приход")*(Накладные!$F$5:$F$204))-SUMPRODUCT((Накладные!$C$5:$C$204=A73)*(Накладные!$D$5:$D$204=B73)*(Накладные!$E$5:$E$204=Справочник!$B$5)*(Накладные!$G$5:$G$204="Расход")*(Накладные!$F$5:$F$204))))</f>
        <v/>
      </c>
      <c r="E73" s="8">
        <f>IF(A73="","",C73+D73)</f>
        <v/>
      </c>
    </row>
    <row r="74">
      <c r="A74" s="7">
        <f>IF(Справочник!A79="","",Справочник!A79)</f>
        <v/>
      </c>
      <c r="B74" s="7">
        <f>IF(Справочник!B79="","",Справочник!B79)</f>
        <v/>
      </c>
      <c r="C74" s="8">
        <f>IF(A74="","",IF(B74="",SUMPRODUCT((Накладные!$C$5:$C$204=A74)*(Накладные!$E$5:$E$204=Справочник!$B$4)*(Накладные!$G$5:$G$204="Приход")*(Накладные!$F$5:$F$204))-SUMPRODUCT((Накладные!$C$5:$C$204=A74)*(Накладные!$E$5:$E$204=Справочник!$B$4)*(Накладные!$G$5:$G$204="Расход")*(Накладные!$F$5:$F$204)),SUMPRODUCT((Накладные!$C$5:$C$204=A74)*(Накладные!$D$5:$D$204=B74)*(Накладные!$E$5:$E$204=Справочник!$B$4)*(Накладные!$G$5:$G$204="Приход")*(Накладные!$F$5:$F$204))-SUMPRODUCT((Накладные!$C$5:$C$204=A74)*(Накладные!$D$5:$D$204=B74)*(Накладные!$E$5:$E$204=Справочник!$B$4)*(Накладные!$G$5:$G$204="Расход")*(Накладные!$F$5:$F$204))))</f>
        <v/>
      </c>
      <c r="D74" s="8">
        <f>IF(A74="","",IF(B74="",SUMPRODUCT((Накладные!$C$5:$C$204=A74)*(Накладные!$E$5:$E$204=Справочник!$B$5)*(Накладные!$G$5:$G$204="Приход")*(Накладные!$F$5:$F$204))-SUMPRODUCT((Накладные!$C$5:$C$204=A74)*(Накладные!$E$5:$E$204=Справочник!$B$5)*(Накладные!$G$5:$G$204="Расход")*(Накладные!$F$5:$F$204)),SUMPRODUCT((Накладные!$C$5:$C$204=A74)*(Накладные!$D$5:$D$204=B74)*(Накладные!$E$5:$E$204=Справочник!$B$5)*(Накладные!$G$5:$G$204="Приход")*(Накладные!$F$5:$F$204))-SUMPRODUCT((Накладные!$C$5:$C$204=A74)*(Накладные!$D$5:$D$204=B74)*(Накладные!$E$5:$E$204=Справочник!$B$5)*(Накладные!$G$5:$G$204="Расход")*(Накладные!$F$5:$F$204))))</f>
        <v/>
      </c>
      <c r="E74" s="8">
        <f>IF(A74="","",C74+D74)</f>
        <v/>
      </c>
    </row>
    <row r="75">
      <c r="A75" s="7">
        <f>IF(Справочник!A80="","",Справочник!A80)</f>
        <v/>
      </c>
      <c r="B75" s="7">
        <f>IF(Справочник!B80="","",Справочник!B80)</f>
        <v/>
      </c>
      <c r="C75" s="8">
        <f>IF(A75="","",IF(B75="",SUMPRODUCT((Накладные!$C$5:$C$204=A75)*(Накладные!$E$5:$E$204=Справочник!$B$4)*(Накладные!$G$5:$G$204="Приход")*(Накладные!$F$5:$F$204))-SUMPRODUCT((Накладные!$C$5:$C$204=A75)*(Накладные!$E$5:$E$204=Справочник!$B$4)*(Накладные!$G$5:$G$204="Расход")*(Накладные!$F$5:$F$204)),SUMPRODUCT((Накладные!$C$5:$C$204=A75)*(Накладные!$D$5:$D$204=B75)*(Накладные!$E$5:$E$204=Справочник!$B$4)*(Накладные!$G$5:$G$204="Приход")*(Накладные!$F$5:$F$204))-SUMPRODUCT((Накладные!$C$5:$C$204=A75)*(Накладные!$D$5:$D$204=B75)*(Накладные!$E$5:$E$204=Справочник!$B$4)*(Накладные!$G$5:$G$204="Расход")*(Накладные!$F$5:$F$204))))</f>
        <v/>
      </c>
      <c r="D75" s="8">
        <f>IF(A75="","",IF(B75="",SUMPRODUCT((Накладные!$C$5:$C$204=A75)*(Накладные!$E$5:$E$204=Справочник!$B$5)*(Накладные!$G$5:$G$204="Приход")*(Накладные!$F$5:$F$204))-SUMPRODUCT((Накладные!$C$5:$C$204=A75)*(Накладные!$E$5:$E$204=Справочник!$B$5)*(Накладные!$G$5:$G$204="Расход")*(Накладные!$F$5:$F$204)),SUMPRODUCT((Накладные!$C$5:$C$204=A75)*(Накладные!$D$5:$D$204=B75)*(Накладные!$E$5:$E$204=Справочник!$B$5)*(Накладные!$G$5:$G$204="Приход")*(Накладные!$F$5:$F$204))-SUMPRODUCT((Накладные!$C$5:$C$204=A75)*(Накладные!$D$5:$D$204=B75)*(Накладные!$E$5:$E$204=Справочник!$B$5)*(Накладные!$G$5:$G$204="Расход")*(Накладные!$F$5:$F$204))))</f>
        <v/>
      </c>
      <c r="E75" s="8">
        <f>IF(A75="","",C75+D75)</f>
        <v/>
      </c>
    </row>
    <row r="76">
      <c r="A76" s="7">
        <f>IF(Справочник!A81="","",Справочник!A81)</f>
        <v/>
      </c>
      <c r="B76" s="7">
        <f>IF(Справочник!B81="","",Справочник!B81)</f>
        <v/>
      </c>
      <c r="C76" s="8">
        <f>IF(A76="","",IF(B76="",SUMPRODUCT((Накладные!$C$5:$C$204=A76)*(Накладные!$E$5:$E$204=Справочник!$B$4)*(Накладные!$G$5:$G$204="Приход")*(Накладные!$F$5:$F$204))-SUMPRODUCT((Накладные!$C$5:$C$204=A76)*(Накладные!$E$5:$E$204=Справочник!$B$4)*(Накладные!$G$5:$G$204="Расход")*(Накладные!$F$5:$F$204)),SUMPRODUCT((Накладные!$C$5:$C$204=A76)*(Накладные!$D$5:$D$204=B76)*(Накладные!$E$5:$E$204=Справочник!$B$4)*(Накладные!$G$5:$G$204="Приход")*(Накладные!$F$5:$F$204))-SUMPRODUCT((Накладные!$C$5:$C$204=A76)*(Накладные!$D$5:$D$204=B76)*(Накладные!$E$5:$E$204=Справочник!$B$4)*(Накладные!$G$5:$G$204="Расход")*(Накладные!$F$5:$F$204))))</f>
        <v/>
      </c>
      <c r="D76" s="8">
        <f>IF(A76="","",IF(B76="",SUMPRODUCT((Накладные!$C$5:$C$204=A76)*(Накладные!$E$5:$E$204=Справочник!$B$5)*(Накладные!$G$5:$G$204="Приход")*(Накладные!$F$5:$F$204))-SUMPRODUCT((Накладные!$C$5:$C$204=A76)*(Накладные!$E$5:$E$204=Справочник!$B$5)*(Накладные!$G$5:$G$204="Расход")*(Накладные!$F$5:$F$204)),SUMPRODUCT((Накладные!$C$5:$C$204=A76)*(Накладные!$D$5:$D$204=B76)*(Накладные!$E$5:$E$204=Справочник!$B$5)*(Накладные!$G$5:$G$204="Приход")*(Накладные!$F$5:$F$204))-SUMPRODUCT((Накладные!$C$5:$C$204=A76)*(Накладные!$D$5:$D$204=B76)*(Накладные!$E$5:$E$204=Справочник!$B$5)*(Накладные!$G$5:$G$204="Расход")*(Накладные!$F$5:$F$204))))</f>
        <v/>
      </c>
      <c r="E76" s="8">
        <f>IF(A76="","",C76+D76)</f>
        <v/>
      </c>
    </row>
    <row r="77">
      <c r="A77" s="7">
        <f>IF(Справочник!A82="","",Справочник!A82)</f>
        <v/>
      </c>
      <c r="B77" s="7">
        <f>IF(Справочник!B82="","",Справочник!B82)</f>
        <v/>
      </c>
      <c r="C77" s="8">
        <f>IF(A77="","",IF(B77="",SUMPRODUCT((Накладные!$C$5:$C$204=A77)*(Накладные!$E$5:$E$204=Справочник!$B$4)*(Накладные!$G$5:$G$204="Приход")*(Накладные!$F$5:$F$204))-SUMPRODUCT((Накладные!$C$5:$C$204=A77)*(Накладные!$E$5:$E$204=Справочник!$B$4)*(Накладные!$G$5:$G$204="Расход")*(Накладные!$F$5:$F$204)),SUMPRODUCT((Накладные!$C$5:$C$204=A77)*(Накладные!$D$5:$D$204=B77)*(Накладные!$E$5:$E$204=Справочник!$B$4)*(Накладные!$G$5:$G$204="Приход")*(Накладные!$F$5:$F$204))-SUMPRODUCT((Накладные!$C$5:$C$204=A77)*(Накладные!$D$5:$D$204=B77)*(Накладные!$E$5:$E$204=Справочник!$B$4)*(Накладные!$G$5:$G$204="Расход")*(Накладные!$F$5:$F$204))))</f>
        <v/>
      </c>
      <c r="D77" s="8">
        <f>IF(A77="","",IF(B77="",SUMPRODUCT((Накладные!$C$5:$C$204=A77)*(Накладные!$E$5:$E$204=Справочник!$B$5)*(Накладные!$G$5:$G$204="Приход")*(Накладные!$F$5:$F$204))-SUMPRODUCT((Накладные!$C$5:$C$204=A77)*(Накладные!$E$5:$E$204=Справочник!$B$5)*(Накладные!$G$5:$G$204="Расход")*(Накладные!$F$5:$F$204)),SUMPRODUCT((Накладные!$C$5:$C$204=A77)*(Накладные!$D$5:$D$204=B77)*(Накладные!$E$5:$E$204=Справочник!$B$5)*(Накладные!$G$5:$G$204="Приход")*(Накладные!$F$5:$F$204))-SUMPRODUCT((Накладные!$C$5:$C$204=A77)*(Накладные!$D$5:$D$204=B77)*(Накладные!$E$5:$E$204=Справочник!$B$5)*(Накладные!$G$5:$G$204="Расход")*(Накладные!$F$5:$F$204))))</f>
        <v/>
      </c>
      <c r="E77" s="8">
        <f>IF(A77="","",C77+D77)</f>
        <v/>
      </c>
    </row>
    <row r="78">
      <c r="A78" s="7">
        <f>IF(Справочник!A83="","",Справочник!A83)</f>
        <v/>
      </c>
      <c r="B78" s="7">
        <f>IF(Справочник!B83="","",Справочник!B83)</f>
        <v/>
      </c>
      <c r="C78" s="8">
        <f>IF(A78="","",IF(B78="",SUMPRODUCT((Накладные!$C$5:$C$204=A78)*(Накладные!$E$5:$E$204=Справочник!$B$4)*(Накладные!$G$5:$G$204="Приход")*(Накладные!$F$5:$F$204))-SUMPRODUCT((Накладные!$C$5:$C$204=A78)*(Накладные!$E$5:$E$204=Справочник!$B$4)*(Накладные!$G$5:$G$204="Расход")*(Накладные!$F$5:$F$204)),SUMPRODUCT((Накладные!$C$5:$C$204=A78)*(Накладные!$D$5:$D$204=B78)*(Накладные!$E$5:$E$204=Справочник!$B$4)*(Накладные!$G$5:$G$204="Приход")*(Накладные!$F$5:$F$204))-SUMPRODUCT((Накладные!$C$5:$C$204=A78)*(Накладные!$D$5:$D$204=B78)*(Накладные!$E$5:$E$204=Справочник!$B$4)*(Накладные!$G$5:$G$204="Расход")*(Накладные!$F$5:$F$204))))</f>
        <v/>
      </c>
      <c r="D78" s="8">
        <f>IF(A78="","",IF(B78="",SUMPRODUCT((Накладные!$C$5:$C$204=A78)*(Накладные!$E$5:$E$204=Справочник!$B$5)*(Накладные!$G$5:$G$204="Приход")*(Накладные!$F$5:$F$204))-SUMPRODUCT((Накладные!$C$5:$C$204=A78)*(Накладные!$E$5:$E$204=Справочник!$B$5)*(Накладные!$G$5:$G$204="Расход")*(Накладные!$F$5:$F$204)),SUMPRODUCT((Накладные!$C$5:$C$204=A78)*(Накладные!$D$5:$D$204=B78)*(Накладные!$E$5:$E$204=Справочник!$B$5)*(Накладные!$G$5:$G$204="Приход")*(Накладные!$F$5:$F$204))-SUMPRODUCT((Накладные!$C$5:$C$204=A78)*(Накладные!$D$5:$D$204=B78)*(Накладные!$E$5:$E$204=Справочник!$B$5)*(Накладные!$G$5:$G$204="Расход")*(Накладные!$F$5:$F$204))))</f>
        <v/>
      </c>
      <c r="E78" s="8">
        <f>IF(A78="","",C78+D78)</f>
        <v/>
      </c>
    </row>
    <row r="79">
      <c r="A79" s="7">
        <f>IF(Справочник!A84="","",Справочник!A84)</f>
        <v/>
      </c>
      <c r="B79" s="7">
        <f>IF(Справочник!B84="","",Справочник!B84)</f>
        <v/>
      </c>
      <c r="C79" s="8">
        <f>IF(A79="","",IF(B79="",SUMPRODUCT((Накладные!$C$5:$C$204=A79)*(Накладные!$E$5:$E$204=Справочник!$B$4)*(Накладные!$G$5:$G$204="Приход")*(Накладные!$F$5:$F$204))-SUMPRODUCT((Накладные!$C$5:$C$204=A79)*(Накладные!$E$5:$E$204=Справочник!$B$4)*(Накладные!$G$5:$G$204="Расход")*(Накладные!$F$5:$F$204)),SUMPRODUCT((Накладные!$C$5:$C$204=A79)*(Накладные!$D$5:$D$204=B79)*(Накладные!$E$5:$E$204=Справочник!$B$4)*(Накладные!$G$5:$G$204="Приход")*(Накладные!$F$5:$F$204))-SUMPRODUCT((Накладные!$C$5:$C$204=A79)*(Накладные!$D$5:$D$204=B79)*(Накладные!$E$5:$E$204=Справочник!$B$4)*(Накладные!$G$5:$G$204="Расход")*(Накладные!$F$5:$F$204))))</f>
        <v/>
      </c>
      <c r="D79" s="8">
        <f>IF(A79="","",IF(B79="",SUMPRODUCT((Накладные!$C$5:$C$204=A79)*(Накладные!$E$5:$E$204=Справочник!$B$5)*(Накладные!$G$5:$G$204="Приход")*(Накладные!$F$5:$F$204))-SUMPRODUCT((Накладные!$C$5:$C$204=A79)*(Накладные!$E$5:$E$204=Справочник!$B$5)*(Накладные!$G$5:$G$204="Расход")*(Накладные!$F$5:$F$204)),SUMPRODUCT((Накладные!$C$5:$C$204=A79)*(Накладные!$D$5:$D$204=B79)*(Накладные!$E$5:$E$204=Справочник!$B$5)*(Накладные!$G$5:$G$204="Приход")*(Накладные!$F$5:$F$204))-SUMPRODUCT((Накладные!$C$5:$C$204=A79)*(Накладные!$D$5:$D$204=B79)*(Накладные!$E$5:$E$204=Справочник!$B$5)*(Накладные!$G$5:$G$204="Расход")*(Накладные!$F$5:$F$204))))</f>
        <v/>
      </c>
      <c r="E79" s="8">
        <f>IF(A79="","",C79+D79)</f>
        <v/>
      </c>
    </row>
    <row r="80">
      <c r="A80" s="7">
        <f>IF(Справочник!A85="","",Справочник!A85)</f>
        <v/>
      </c>
      <c r="B80" s="7">
        <f>IF(Справочник!B85="","",Справочник!B85)</f>
        <v/>
      </c>
      <c r="C80" s="8">
        <f>IF(A80="","",IF(B80="",SUMPRODUCT((Накладные!$C$5:$C$204=A80)*(Накладные!$E$5:$E$204=Справочник!$B$4)*(Накладные!$G$5:$G$204="Приход")*(Накладные!$F$5:$F$204))-SUMPRODUCT((Накладные!$C$5:$C$204=A80)*(Накладные!$E$5:$E$204=Справочник!$B$4)*(Накладные!$G$5:$G$204="Расход")*(Накладные!$F$5:$F$204)),SUMPRODUCT((Накладные!$C$5:$C$204=A80)*(Накладные!$D$5:$D$204=B80)*(Накладные!$E$5:$E$204=Справочник!$B$4)*(Накладные!$G$5:$G$204="Приход")*(Накладные!$F$5:$F$204))-SUMPRODUCT((Накладные!$C$5:$C$204=A80)*(Накладные!$D$5:$D$204=B80)*(Накладные!$E$5:$E$204=Справочник!$B$4)*(Накладные!$G$5:$G$204="Расход")*(Накладные!$F$5:$F$204))))</f>
        <v/>
      </c>
      <c r="D80" s="8">
        <f>IF(A80="","",IF(B80="",SUMPRODUCT((Накладные!$C$5:$C$204=A80)*(Накладные!$E$5:$E$204=Справочник!$B$5)*(Накладные!$G$5:$G$204="Приход")*(Накладные!$F$5:$F$204))-SUMPRODUCT((Накладные!$C$5:$C$204=A80)*(Накладные!$E$5:$E$204=Справочник!$B$5)*(Накладные!$G$5:$G$204="Расход")*(Накладные!$F$5:$F$204)),SUMPRODUCT((Накладные!$C$5:$C$204=A80)*(Накладные!$D$5:$D$204=B80)*(Накладные!$E$5:$E$204=Справочник!$B$5)*(Накладные!$G$5:$G$204="Приход")*(Накладные!$F$5:$F$204))-SUMPRODUCT((Накладные!$C$5:$C$204=A80)*(Накладные!$D$5:$D$204=B80)*(Накладные!$E$5:$E$204=Справочник!$B$5)*(Накладные!$G$5:$G$204="Расход")*(Накладные!$F$5:$F$204))))</f>
        <v/>
      </c>
      <c r="E80" s="8">
        <f>IF(A80="","",C80+D80)</f>
        <v/>
      </c>
    </row>
    <row r="81">
      <c r="A81" s="7">
        <f>IF(Справочник!A86="","",Справочник!A86)</f>
        <v/>
      </c>
      <c r="B81" s="7">
        <f>IF(Справочник!B86="","",Справочник!B86)</f>
        <v/>
      </c>
      <c r="C81" s="8">
        <f>IF(A81="","",IF(B81="",SUMPRODUCT((Накладные!$C$5:$C$204=A81)*(Накладные!$E$5:$E$204=Справочник!$B$4)*(Накладные!$G$5:$G$204="Приход")*(Накладные!$F$5:$F$204))-SUMPRODUCT((Накладные!$C$5:$C$204=A81)*(Накладные!$E$5:$E$204=Справочник!$B$4)*(Накладные!$G$5:$G$204="Расход")*(Накладные!$F$5:$F$204)),SUMPRODUCT((Накладные!$C$5:$C$204=A81)*(Накладные!$D$5:$D$204=B81)*(Накладные!$E$5:$E$204=Справочник!$B$4)*(Накладные!$G$5:$G$204="Приход")*(Накладные!$F$5:$F$204))-SUMPRODUCT((Накладные!$C$5:$C$204=A81)*(Накладные!$D$5:$D$204=B81)*(Накладные!$E$5:$E$204=Справочник!$B$4)*(Накладные!$G$5:$G$204="Расход")*(Накладные!$F$5:$F$204))))</f>
        <v/>
      </c>
      <c r="D81" s="8">
        <f>IF(A81="","",IF(B81="",SUMPRODUCT((Накладные!$C$5:$C$204=A81)*(Накладные!$E$5:$E$204=Справочник!$B$5)*(Накладные!$G$5:$G$204="Приход")*(Накладные!$F$5:$F$204))-SUMPRODUCT((Накладные!$C$5:$C$204=A81)*(Накладные!$E$5:$E$204=Справочник!$B$5)*(Накладные!$G$5:$G$204="Расход")*(Накладные!$F$5:$F$204)),SUMPRODUCT((Накладные!$C$5:$C$204=A81)*(Накладные!$D$5:$D$204=B81)*(Накладные!$E$5:$E$204=Справочник!$B$5)*(Накладные!$G$5:$G$204="Приход")*(Накладные!$F$5:$F$204))-SUMPRODUCT((Накладные!$C$5:$C$204=A81)*(Накладные!$D$5:$D$204=B81)*(Накладные!$E$5:$E$204=Справочник!$B$5)*(Накладные!$G$5:$G$204="Расход")*(Накладные!$F$5:$F$204))))</f>
        <v/>
      </c>
      <c r="E81" s="8">
        <f>IF(A81="","",C81+D81)</f>
        <v/>
      </c>
    </row>
    <row r="82">
      <c r="A82" s="7">
        <f>IF(Справочник!A87="","",Справочник!A87)</f>
        <v/>
      </c>
      <c r="B82" s="7">
        <f>IF(Справочник!B87="","",Справочник!B87)</f>
        <v/>
      </c>
      <c r="C82" s="8">
        <f>IF(A82="","",IF(B82="",SUMPRODUCT((Накладные!$C$5:$C$204=A82)*(Накладные!$E$5:$E$204=Справочник!$B$4)*(Накладные!$G$5:$G$204="Приход")*(Накладные!$F$5:$F$204))-SUMPRODUCT((Накладные!$C$5:$C$204=A82)*(Накладные!$E$5:$E$204=Справочник!$B$4)*(Накладные!$G$5:$G$204="Расход")*(Накладные!$F$5:$F$204)),SUMPRODUCT((Накладные!$C$5:$C$204=A82)*(Накладные!$D$5:$D$204=B82)*(Накладные!$E$5:$E$204=Справочник!$B$4)*(Накладные!$G$5:$G$204="Приход")*(Накладные!$F$5:$F$204))-SUMPRODUCT((Накладные!$C$5:$C$204=A82)*(Накладные!$D$5:$D$204=B82)*(Накладные!$E$5:$E$204=Справочник!$B$4)*(Накладные!$G$5:$G$204="Расход")*(Накладные!$F$5:$F$204))))</f>
        <v/>
      </c>
      <c r="D82" s="8">
        <f>IF(A82="","",IF(B82="",SUMPRODUCT((Накладные!$C$5:$C$204=A82)*(Накладные!$E$5:$E$204=Справочник!$B$5)*(Накладные!$G$5:$G$204="Приход")*(Накладные!$F$5:$F$204))-SUMPRODUCT((Накладные!$C$5:$C$204=A82)*(Накладные!$E$5:$E$204=Справочник!$B$5)*(Накладные!$G$5:$G$204="Расход")*(Накладные!$F$5:$F$204)),SUMPRODUCT((Накладные!$C$5:$C$204=A82)*(Накладные!$D$5:$D$204=B82)*(Накладные!$E$5:$E$204=Справочник!$B$5)*(Накладные!$G$5:$G$204="Приход")*(Накладные!$F$5:$F$204))-SUMPRODUCT((Накладные!$C$5:$C$204=A82)*(Накладные!$D$5:$D$204=B82)*(Накладные!$E$5:$E$204=Справочник!$B$5)*(Накладные!$G$5:$G$204="Расход")*(Накладные!$F$5:$F$204))))</f>
        <v/>
      </c>
      <c r="E82" s="8">
        <f>IF(A82="","",C82+D82)</f>
        <v/>
      </c>
    </row>
    <row r="83">
      <c r="A83" s="7">
        <f>IF(Справочник!A88="","",Справочник!A88)</f>
        <v/>
      </c>
      <c r="B83" s="7">
        <f>IF(Справочник!B88="","",Справочник!B88)</f>
        <v/>
      </c>
      <c r="C83" s="8">
        <f>IF(A83="","",IF(B83="",SUMPRODUCT((Накладные!$C$5:$C$204=A83)*(Накладные!$E$5:$E$204=Справочник!$B$4)*(Накладные!$G$5:$G$204="Приход")*(Накладные!$F$5:$F$204))-SUMPRODUCT((Накладные!$C$5:$C$204=A83)*(Накладные!$E$5:$E$204=Справочник!$B$4)*(Накладные!$G$5:$G$204="Расход")*(Накладные!$F$5:$F$204)),SUMPRODUCT((Накладные!$C$5:$C$204=A83)*(Накладные!$D$5:$D$204=B83)*(Накладные!$E$5:$E$204=Справочник!$B$4)*(Накладные!$G$5:$G$204="Приход")*(Накладные!$F$5:$F$204))-SUMPRODUCT((Накладные!$C$5:$C$204=A83)*(Накладные!$D$5:$D$204=B83)*(Накладные!$E$5:$E$204=Справочник!$B$4)*(Накладные!$G$5:$G$204="Расход")*(Накладные!$F$5:$F$204))))</f>
        <v/>
      </c>
      <c r="D83" s="8">
        <f>IF(A83="","",IF(B83="",SUMPRODUCT((Накладные!$C$5:$C$204=A83)*(Накладные!$E$5:$E$204=Справочник!$B$5)*(Накладные!$G$5:$G$204="Приход")*(Накладные!$F$5:$F$204))-SUMPRODUCT((Накладные!$C$5:$C$204=A83)*(Накладные!$E$5:$E$204=Справочник!$B$5)*(Накладные!$G$5:$G$204="Расход")*(Накладные!$F$5:$F$204)),SUMPRODUCT((Накладные!$C$5:$C$204=A83)*(Накладные!$D$5:$D$204=B83)*(Накладные!$E$5:$E$204=Справочник!$B$5)*(Накладные!$G$5:$G$204="Приход")*(Накладные!$F$5:$F$204))-SUMPRODUCT((Накладные!$C$5:$C$204=A83)*(Накладные!$D$5:$D$204=B83)*(Накладные!$E$5:$E$204=Справочник!$B$5)*(Накладные!$G$5:$G$204="Расход")*(Накладные!$F$5:$F$204))))</f>
        <v/>
      </c>
      <c r="E83" s="8">
        <f>IF(A83="","",C83+D83)</f>
        <v/>
      </c>
    </row>
    <row r="84">
      <c r="A84" s="7">
        <f>IF(Справочник!A89="","",Справочник!A89)</f>
        <v/>
      </c>
      <c r="B84" s="7">
        <f>IF(Справочник!B89="","",Справочник!B89)</f>
        <v/>
      </c>
      <c r="C84" s="8">
        <f>IF(A84="","",IF(B84="",SUMPRODUCT((Накладные!$C$5:$C$204=A84)*(Накладные!$E$5:$E$204=Справочник!$B$4)*(Накладные!$G$5:$G$204="Приход")*(Накладные!$F$5:$F$204))-SUMPRODUCT((Накладные!$C$5:$C$204=A84)*(Накладные!$E$5:$E$204=Справочник!$B$4)*(Накладные!$G$5:$G$204="Расход")*(Накладные!$F$5:$F$204)),SUMPRODUCT((Накладные!$C$5:$C$204=A84)*(Накладные!$D$5:$D$204=B84)*(Накладные!$E$5:$E$204=Справочник!$B$4)*(Накладные!$G$5:$G$204="Приход")*(Накладные!$F$5:$F$204))-SUMPRODUCT((Накладные!$C$5:$C$204=A84)*(Накладные!$D$5:$D$204=B84)*(Накладные!$E$5:$E$204=Справочник!$B$4)*(Накладные!$G$5:$G$204="Расход")*(Накладные!$F$5:$F$204))))</f>
        <v/>
      </c>
      <c r="D84" s="8">
        <f>IF(A84="","",IF(B84="",SUMPRODUCT((Накладные!$C$5:$C$204=A84)*(Накладные!$E$5:$E$204=Справочник!$B$5)*(Накладные!$G$5:$G$204="Приход")*(Накладные!$F$5:$F$204))-SUMPRODUCT((Накладные!$C$5:$C$204=A84)*(Накладные!$E$5:$E$204=Справочник!$B$5)*(Накладные!$G$5:$G$204="Расход")*(Накладные!$F$5:$F$204)),SUMPRODUCT((Накладные!$C$5:$C$204=A84)*(Накладные!$D$5:$D$204=B84)*(Накладные!$E$5:$E$204=Справочник!$B$5)*(Накладные!$G$5:$G$204="Приход")*(Накладные!$F$5:$F$204))-SUMPRODUCT((Накладные!$C$5:$C$204=A84)*(Накладные!$D$5:$D$204=B84)*(Накладные!$E$5:$E$204=Справочник!$B$5)*(Накладные!$G$5:$G$204="Расход")*(Накладные!$F$5:$F$204))))</f>
        <v/>
      </c>
      <c r="E84" s="8">
        <f>IF(A84="","",C84+D84)</f>
        <v/>
      </c>
    </row>
    <row r="85">
      <c r="A85" s="7">
        <f>IF(Справочник!A90="","",Справочник!A90)</f>
        <v/>
      </c>
      <c r="B85" s="7">
        <f>IF(Справочник!B90="","",Справочник!B90)</f>
        <v/>
      </c>
      <c r="C85" s="8">
        <f>IF(A85="","",IF(B85="",SUMPRODUCT((Накладные!$C$5:$C$204=A85)*(Накладные!$E$5:$E$204=Справочник!$B$4)*(Накладные!$G$5:$G$204="Приход")*(Накладные!$F$5:$F$204))-SUMPRODUCT((Накладные!$C$5:$C$204=A85)*(Накладные!$E$5:$E$204=Справочник!$B$4)*(Накладные!$G$5:$G$204="Расход")*(Накладные!$F$5:$F$204)),SUMPRODUCT((Накладные!$C$5:$C$204=A85)*(Накладные!$D$5:$D$204=B85)*(Накладные!$E$5:$E$204=Справочник!$B$4)*(Накладные!$G$5:$G$204="Приход")*(Накладные!$F$5:$F$204))-SUMPRODUCT((Накладные!$C$5:$C$204=A85)*(Накладные!$D$5:$D$204=B85)*(Накладные!$E$5:$E$204=Справочник!$B$4)*(Накладные!$G$5:$G$204="Расход")*(Накладные!$F$5:$F$204))))</f>
        <v/>
      </c>
      <c r="D85" s="8">
        <f>IF(A85="","",IF(B85="",SUMPRODUCT((Накладные!$C$5:$C$204=A85)*(Накладные!$E$5:$E$204=Справочник!$B$5)*(Накладные!$G$5:$G$204="Приход")*(Накладные!$F$5:$F$204))-SUMPRODUCT((Накладные!$C$5:$C$204=A85)*(Накладные!$E$5:$E$204=Справочник!$B$5)*(Накладные!$G$5:$G$204="Расход")*(Накладные!$F$5:$F$204)),SUMPRODUCT((Накладные!$C$5:$C$204=A85)*(Накладные!$D$5:$D$204=B85)*(Накладные!$E$5:$E$204=Справочник!$B$5)*(Накладные!$G$5:$G$204="Приход")*(Накладные!$F$5:$F$204))-SUMPRODUCT((Накладные!$C$5:$C$204=A85)*(Накладные!$D$5:$D$204=B85)*(Накладные!$E$5:$E$204=Справочник!$B$5)*(Накладные!$G$5:$G$204="Расход")*(Накладные!$F$5:$F$204))))</f>
        <v/>
      </c>
      <c r="E85" s="8">
        <f>IF(A85="","",C85+D85)</f>
        <v/>
      </c>
    </row>
    <row r="86">
      <c r="A86" s="7">
        <f>IF(Справочник!A91="","",Справочник!A91)</f>
        <v/>
      </c>
      <c r="B86" s="7">
        <f>IF(Справочник!B91="","",Справочник!B91)</f>
        <v/>
      </c>
      <c r="C86" s="8">
        <f>IF(A86="","",IF(B86="",SUMPRODUCT((Накладные!$C$5:$C$204=A86)*(Накладные!$E$5:$E$204=Справочник!$B$4)*(Накладные!$G$5:$G$204="Приход")*(Накладные!$F$5:$F$204))-SUMPRODUCT((Накладные!$C$5:$C$204=A86)*(Накладные!$E$5:$E$204=Справочник!$B$4)*(Накладные!$G$5:$G$204="Расход")*(Накладные!$F$5:$F$204)),SUMPRODUCT((Накладные!$C$5:$C$204=A86)*(Накладные!$D$5:$D$204=B86)*(Накладные!$E$5:$E$204=Справочник!$B$4)*(Накладные!$G$5:$G$204="Приход")*(Накладные!$F$5:$F$204))-SUMPRODUCT((Накладные!$C$5:$C$204=A86)*(Накладные!$D$5:$D$204=B86)*(Накладные!$E$5:$E$204=Справочник!$B$4)*(Накладные!$G$5:$G$204="Расход")*(Накладные!$F$5:$F$204))))</f>
        <v/>
      </c>
      <c r="D86" s="8">
        <f>IF(A86="","",IF(B86="",SUMPRODUCT((Накладные!$C$5:$C$204=A86)*(Накладные!$E$5:$E$204=Справочник!$B$5)*(Накладные!$G$5:$G$204="Приход")*(Накладные!$F$5:$F$204))-SUMPRODUCT((Накладные!$C$5:$C$204=A86)*(Накладные!$E$5:$E$204=Справочник!$B$5)*(Накладные!$G$5:$G$204="Расход")*(Накладные!$F$5:$F$204)),SUMPRODUCT((Накладные!$C$5:$C$204=A86)*(Накладные!$D$5:$D$204=B86)*(Накладные!$E$5:$E$204=Справочник!$B$5)*(Накладные!$G$5:$G$204="Приход")*(Накладные!$F$5:$F$204))-SUMPRODUCT((Накладные!$C$5:$C$204=A86)*(Накладные!$D$5:$D$204=B86)*(Накладные!$E$5:$E$204=Справочник!$B$5)*(Накладные!$G$5:$G$204="Расход")*(Накладные!$F$5:$F$204))))</f>
        <v/>
      </c>
      <c r="E86" s="8">
        <f>IF(A86="","",C86+D86)</f>
        <v/>
      </c>
    </row>
    <row r="87">
      <c r="A87" s="7">
        <f>IF(Справочник!A92="","",Справочник!A92)</f>
        <v/>
      </c>
      <c r="B87" s="7">
        <f>IF(Справочник!B92="","",Справочник!B92)</f>
        <v/>
      </c>
      <c r="C87" s="8">
        <f>IF(A87="","",IF(B87="",SUMPRODUCT((Накладные!$C$5:$C$204=A87)*(Накладные!$E$5:$E$204=Справочник!$B$4)*(Накладные!$G$5:$G$204="Приход")*(Накладные!$F$5:$F$204))-SUMPRODUCT((Накладные!$C$5:$C$204=A87)*(Накладные!$E$5:$E$204=Справочник!$B$4)*(Накладные!$G$5:$G$204="Расход")*(Накладные!$F$5:$F$204)),SUMPRODUCT((Накладные!$C$5:$C$204=A87)*(Накладные!$D$5:$D$204=B87)*(Накладные!$E$5:$E$204=Справочник!$B$4)*(Накладные!$G$5:$G$204="Приход")*(Накладные!$F$5:$F$204))-SUMPRODUCT((Накладные!$C$5:$C$204=A87)*(Накладные!$D$5:$D$204=B87)*(Накладные!$E$5:$E$204=Справочник!$B$4)*(Накладные!$G$5:$G$204="Расход")*(Накладные!$F$5:$F$204))))</f>
        <v/>
      </c>
      <c r="D87" s="8">
        <f>IF(A87="","",IF(B87="",SUMPRODUCT((Накладные!$C$5:$C$204=A87)*(Накладные!$E$5:$E$204=Справочник!$B$5)*(Накладные!$G$5:$G$204="Приход")*(Накладные!$F$5:$F$204))-SUMPRODUCT((Накладные!$C$5:$C$204=A87)*(Накладные!$E$5:$E$204=Справочник!$B$5)*(Накладные!$G$5:$G$204="Расход")*(Накладные!$F$5:$F$204)),SUMPRODUCT((Накладные!$C$5:$C$204=A87)*(Накладные!$D$5:$D$204=B87)*(Накладные!$E$5:$E$204=Справочник!$B$5)*(Накладные!$G$5:$G$204="Приход")*(Накладные!$F$5:$F$204))-SUMPRODUCT((Накладные!$C$5:$C$204=A87)*(Накладные!$D$5:$D$204=B87)*(Накладные!$E$5:$E$204=Справочник!$B$5)*(Накладные!$G$5:$G$204="Расход")*(Накладные!$F$5:$F$204))))</f>
        <v/>
      </c>
      <c r="E87" s="8">
        <f>IF(A87="","",C87+D87)</f>
        <v/>
      </c>
    </row>
    <row r="88">
      <c r="A88" s="7">
        <f>IF(Справочник!A93="","",Справочник!A93)</f>
        <v/>
      </c>
      <c r="B88" s="7">
        <f>IF(Справочник!B93="","",Справочник!B93)</f>
        <v/>
      </c>
      <c r="C88" s="8">
        <f>IF(A88="","",IF(B88="",SUMPRODUCT((Накладные!$C$5:$C$204=A88)*(Накладные!$E$5:$E$204=Справочник!$B$4)*(Накладные!$G$5:$G$204="Приход")*(Накладные!$F$5:$F$204))-SUMPRODUCT((Накладные!$C$5:$C$204=A88)*(Накладные!$E$5:$E$204=Справочник!$B$4)*(Накладные!$G$5:$G$204="Расход")*(Накладные!$F$5:$F$204)),SUMPRODUCT((Накладные!$C$5:$C$204=A88)*(Накладные!$D$5:$D$204=B88)*(Накладные!$E$5:$E$204=Справочник!$B$4)*(Накладные!$G$5:$G$204="Приход")*(Накладные!$F$5:$F$204))-SUMPRODUCT((Накладные!$C$5:$C$204=A88)*(Накладные!$D$5:$D$204=B88)*(Накладные!$E$5:$E$204=Справочник!$B$4)*(Накладные!$G$5:$G$204="Расход")*(Накладные!$F$5:$F$204))))</f>
        <v/>
      </c>
      <c r="D88" s="8">
        <f>IF(A88="","",IF(B88="",SUMPRODUCT((Накладные!$C$5:$C$204=A88)*(Накладные!$E$5:$E$204=Справочник!$B$5)*(Накладные!$G$5:$G$204="Приход")*(Накладные!$F$5:$F$204))-SUMPRODUCT((Накладные!$C$5:$C$204=A88)*(Накладные!$E$5:$E$204=Справочник!$B$5)*(Накладные!$G$5:$G$204="Расход")*(Накладные!$F$5:$F$204)),SUMPRODUCT((Накладные!$C$5:$C$204=A88)*(Накладные!$D$5:$D$204=B88)*(Накладные!$E$5:$E$204=Справочник!$B$5)*(Накладные!$G$5:$G$204="Приход")*(Накладные!$F$5:$F$204))-SUMPRODUCT((Накладные!$C$5:$C$204=A88)*(Накладные!$D$5:$D$204=B88)*(Накладные!$E$5:$E$204=Справочник!$B$5)*(Накладные!$G$5:$G$204="Расход")*(Накладные!$F$5:$F$204))))</f>
        <v/>
      </c>
      <c r="E88" s="8">
        <f>IF(A88="","",C88+D88)</f>
        <v/>
      </c>
    </row>
    <row r="89">
      <c r="A89" s="7">
        <f>IF(Справочник!A94="","",Справочник!A94)</f>
        <v/>
      </c>
      <c r="B89" s="7">
        <f>IF(Справочник!B94="","",Справочник!B94)</f>
        <v/>
      </c>
      <c r="C89" s="8">
        <f>IF(A89="","",IF(B89="",SUMPRODUCT((Накладные!$C$5:$C$204=A89)*(Накладные!$E$5:$E$204=Справочник!$B$4)*(Накладные!$G$5:$G$204="Приход")*(Накладные!$F$5:$F$204))-SUMPRODUCT((Накладные!$C$5:$C$204=A89)*(Накладные!$E$5:$E$204=Справочник!$B$4)*(Накладные!$G$5:$G$204="Расход")*(Накладные!$F$5:$F$204)),SUMPRODUCT((Накладные!$C$5:$C$204=A89)*(Накладные!$D$5:$D$204=B89)*(Накладные!$E$5:$E$204=Справочник!$B$4)*(Накладные!$G$5:$G$204="Приход")*(Накладные!$F$5:$F$204))-SUMPRODUCT((Накладные!$C$5:$C$204=A89)*(Накладные!$D$5:$D$204=B89)*(Накладные!$E$5:$E$204=Справочник!$B$4)*(Накладные!$G$5:$G$204="Расход")*(Накладные!$F$5:$F$204))))</f>
        <v/>
      </c>
      <c r="D89" s="8">
        <f>IF(A89="","",IF(B89="",SUMPRODUCT((Накладные!$C$5:$C$204=A89)*(Накладные!$E$5:$E$204=Справочник!$B$5)*(Накладные!$G$5:$G$204="Приход")*(Накладные!$F$5:$F$204))-SUMPRODUCT((Накладные!$C$5:$C$204=A89)*(Накладные!$E$5:$E$204=Справочник!$B$5)*(Накладные!$G$5:$G$204="Расход")*(Накладные!$F$5:$F$204)),SUMPRODUCT((Накладные!$C$5:$C$204=A89)*(Накладные!$D$5:$D$204=B89)*(Накладные!$E$5:$E$204=Справочник!$B$5)*(Накладные!$G$5:$G$204="Приход")*(Накладные!$F$5:$F$204))-SUMPRODUCT((Накладные!$C$5:$C$204=A89)*(Накладные!$D$5:$D$204=B89)*(Накладные!$E$5:$E$204=Справочник!$B$5)*(Накладные!$G$5:$G$204="Расход")*(Накладные!$F$5:$F$204))))</f>
        <v/>
      </c>
      <c r="E89" s="8">
        <f>IF(A89="","",C89+D89)</f>
        <v/>
      </c>
    </row>
    <row r="90">
      <c r="A90" s="7">
        <f>IF(Справочник!A95="","",Справочник!A95)</f>
        <v/>
      </c>
      <c r="B90" s="7">
        <f>IF(Справочник!B95="","",Справочник!B95)</f>
        <v/>
      </c>
      <c r="C90" s="8">
        <f>IF(A90="","",IF(B90="",SUMPRODUCT((Накладные!$C$5:$C$204=A90)*(Накладные!$E$5:$E$204=Справочник!$B$4)*(Накладные!$G$5:$G$204="Приход")*(Накладные!$F$5:$F$204))-SUMPRODUCT((Накладные!$C$5:$C$204=A90)*(Накладные!$E$5:$E$204=Справочник!$B$4)*(Накладные!$G$5:$G$204="Расход")*(Накладные!$F$5:$F$204)),SUMPRODUCT((Накладные!$C$5:$C$204=A90)*(Накладные!$D$5:$D$204=B90)*(Накладные!$E$5:$E$204=Справочник!$B$4)*(Накладные!$G$5:$G$204="Приход")*(Накладные!$F$5:$F$204))-SUMPRODUCT((Накладные!$C$5:$C$204=A90)*(Накладные!$D$5:$D$204=B90)*(Накладные!$E$5:$E$204=Справочник!$B$4)*(Накладные!$G$5:$G$204="Расход")*(Накладные!$F$5:$F$204))))</f>
        <v/>
      </c>
      <c r="D90" s="8">
        <f>IF(A90="","",IF(B90="",SUMPRODUCT((Накладные!$C$5:$C$204=A90)*(Накладные!$E$5:$E$204=Справочник!$B$5)*(Накладные!$G$5:$G$204="Приход")*(Накладные!$F$5:$F$204))-SUMPRODUCT((Накладные!$C$5:$C$204=A90)*(Накладные!$E$5:$E$204=Справочник!$B$5)*(Накладные!$G$5:$G$204="Расход")*(Накладные!$F$5:$F$204)),SUMPRODUCT((Накладные!$C$5:$C$204=A90)*(Накладные!$D$5:$D$204=B90)*(Накладные!$E$5:$E$204=Справочник!$B$5)*(Накладные!$G$5:$G$204="Приход")*(Накладные!$F$5:$F$204))-SUMPRODUCT((Накладные!$C$5:$C$204=A90)*(Накладные!$D$5:$D$204=B90)*(Накладные!$E$5:$E$204=Справочник!$B$5)*(Накладные!$G$5:$G$204="Расход")*(Накладные!$F$5:$F$204))))</f>
        <v/>
      </c>
      <c r="E90" s="8">
        <f>IF(A90="","",C90+D90)</f>
        <v/>
      </c>
    </row>
    <row r="91">
      <c r="A91" s="7">
        <f>IF(Справочник!A96="","",Справочник!A96)</f>
        <v/>
      </c>
      <c r="B91" s="7">
        <f>IF(Справочник!B96="","",Справочник!B96)</f>
        <v/>
      </c>
      <c r="C91" s="8">
        <f>IF(A91="","",IF(B91="",SUMPRODUCT((Накладные!$C$5:$C$204=A91)*(Накладные!$E$5:$E$204=Справочник!$B$4)*(Накладные!$G$5:$G$204="Приход")*(Накладные!$F$5:$F$204))-SUMPRODUCT((Накладные!$C$5:$C$204=A91)*(Накладные!$E$5:$E$204=Справочник!$B$4)*(Накладные!$G$5:$G$204="Расход")*(Накладные!$F$5:$F$204)),SUMPRODUCT((Накладные!$C$5:$C$204=A91)*(Накладные!$D$5:$D$204=B91)*(Накладные!$E$5:$E$204=Справочник!$B$4)*(Накладные!$G$5:$G$204="Приход")*(Накладные!$F$5:$F$204))-SUMPRODUCT((Накладные!$C$5:$C$204=A91)*(Накладные!$D$5:$D$204=B91)*(Накладные!$E$5:$E$204=Справочник!$B$4)*(Накладные!$G$5:$G$204="Расход")*(Накладные!$F$5:$F$204))))</f>
        <v/>
      </c>
      <c r="D91" s="8">
        <f>IF(A91="","",IF(B91="",SUMPRODUCT((Накладные!$C$5:$C$204=A91)*(Накладные!$E$5:$E$204=Справочник!$B$5)*(Накладные!$G$5:$G$204="Приход")*(Накладные!$F$5:$F$204))-SUMPRODUCT((Накладные!$C$5:$C$204=A91)*(Накладные!$E$5:$E$204=Справочник!$B$5)*(Накладные!$G$5:$G$204="Расход")*(Накладные!$F$5:$F$204)),SUMPRODUCT((Накладные!$C$5:$C$204=A91)*(Накладные!$D$5:$D$204=B91)*(Накладные!$E$5:$E$204=Справочник!$B$5)*(Накладные!$G$5:$G$204="Приход")*(Накладные!$F$5:$F$204))-SUMPRODUCT((Накладные!$C$5:$C$204=A91)*(Накладные!$D$5:$D$204=B91)*(Накладные!$E$5:$E$204=Справочник!$B$5)*(Накладные!$G$5:$G$204="Расход")*(Накладные!$F$5:$F$204))))</f>
        <v/>
      </c>
      <c r="E91" s="8">
        <f>IF(A91="","",C91+D91)</f>
        <v/>
      </c>
    </row>
    <row r="92">
      <c r="A92" s="7">
        <f>IF(Справочник!A97="","",Справочник!A97)</f>
        <v/>
      </c>
      <c r="B92" s="7">
        <f>IF(Справочник!B97="","",Справочник!B97)</f>
        <v/>
      </c>
      <c r="C92" s="8">
        <f>IF(A92="","",IF(B92="",SUMPRODUCT((Накладные!$C$5:$C$204=A92)*(Накладные!$E$5:$E$204=Справочник!$B$4)*(Накладные!$G$5:$G$204="Приход")*(Накладные!$F$5:$F$204))-SUMPRODUCT((Накладные!$C$5:$C$204=A92)*(Накладные!$E$5:$E$204=Справочник!$B$4)*(Накладные!$G$5:$G$204="Расход")*(Накладные!$F$5:$F$204)),SUMPRODUCT((Накладные!$C$5:$C$204=A92)*(Накладные!$D$5:$D$204=B92)*(Накладные!$E$5:$E$204=Справочник!$B$4)*(Накладные!$G$5:$G$204="Приход")*(Накладные!$F$5:$F$204))-SUMPRODUCT((Накладные!$C$5:$C$204=A92)*(Накладные!$D$5:$D$204=B92)*(Накладные!$E$5:$E$204=Справочник!$B$4)*(Накладные!$G$5:$G$204="Расход")*(Накладные!$F$5:$F$204))))</f>
        <v/>
      </c>
      <c r="D92" s="8">
        <f>IF(A92="","",IF(B92="",SUMPRODUCT((Накладные!$C$5:$C$204=A92)*(Накладные!$E$5:$E$204=Справочник!$B$5)*(Накладные!$G$5:$G$204="Приход")*(Накладные!$F$5:$F$204))-SUMPRODUCT((Накладные!$C$5:$C$204=A92)*(Накладные!$E$5:$E$204=Справочник!$B$5)*(Накладные!$G$5:$G$204="Расход")*(Накладные!$F$5:$F$204)),SUMPRODUCT((Накладные!$C$5:$C$204=A92)*(Накладные!$D$5:$D$204=B92)*(Накладные!$E$5:$E$204=Справочник!$B$5)*(Накладные!$G$5:$G$204="Приход")*(Накладные!$F$5:$F$204))-SUMPRODUCT((Накладные!$C$5:$C$204=A92)*(Накладные!$D$5:$D$204=B92)*(Накладные!$E$5:$E$204=Справочник!$B$5)*(Накладные!$G$5:$G$204="Расход")*(Накладные!$F$5:$F$204))))</f>
        <v/>
      </c>
      <c r="E92" s="8">
        <f>IF(A92="","",C92+D92)</f>
        <v/>
      </c>
    </row>
    <row r="93">
      <c r="A93" s="7">
        <f>IF(Справочник!A98="","",Справочник!A98)</f>
        <v/>
      </c>
      <c r="B93" s="7">
        <f>IF(Справочник!B98="","",Справочник!B98)</f>
        <v/>
      </c>
      <c r="C93" s="8">
        <f>IF(A93="","",IF(B93="",SUMPRODUCT((Накладные!$C$5:$C$204=A93)*(Накладные!$E$5:$E$204=Справочник!$B$4)*(Накладные!$G$5:$G$204="Приход")*(Накладные!$F$5:$F$204))-SUMPRODUCT((Накладные!$C$5:$C$204=A93)*(Накладные!$E$5:$E$204=Справочник!$B$4)*(Накладные!$G$5:$G$204="Расход")*(Накладные!$F$5:$F$204)),SUMPRODUCT((Накладные!$C$5:$C$204=A93)*(Накладные!$D$5:$D$204=B93)*(Накладные!$E$5:$E$204=Справочник!$B$4)*(Накладные!$G$5:$G$204="Приход")*(Накладные!$F$5:$F$204))-SUMPRODUCT((Накладные!$C$5:$C$204=A93)*(Накладные!$D$5:$D$204=B93)*(Накладные!$E$5:$E$204=Справочник!$B$4)*(Накладные!$G$5:$G$204="Расход")*(Накладные!$F$5:$F$204))))</f>
        <v/>
      </c>
      <c r="D93" s="8">
        <f>IF(A93="","",IF(B93="",SUMPRODUCT((Накладные!$C$5:$C$204=A93)*(Накладные!$E$5:$E$204=Справочник!$B$5)*(Накладные!$G$5:$G$204="Приход")*(Накладные!$F$5:$F$204))-SUMPRODUCT((Накладные!$C$5:$C$204=A93)*(Накладные!$E$5:$E$204=Справочник!$B$5)*(Накладные!$G$5:$G$204="Расход")*(Накладные!$F$5:$F$204)),SUMPRODUCT((Накладные!$C$5:$C$204=A93)*(Накладные!$D$5:$D$204=B93)*(Накладные!$E$5:$E$204=Справочник!$B$5)*(Накладные!$G$5:$G$204="Приход")*(Накладные!$F$5:$F$204))-SUMPRODUCT((Накладные!$C$5:$C$204=A93)*(Накладные!$D$5:$D$204=B93)*(Накладные!$E$5:$E$204=Справочник!$B$5)*(Накладные!$G$5:$G$204="Расход")*(Накладные!$F$5:$F$204))))</f>
        <v/>
      </c>
      <c r="E93" s="8">
        <f>IF(A93="","",C93+D93)</f>
        <v/>
      </c>
    </row>
    <row r="94">
      <c r="A94" s="7">
        <f>IF(Справочник!A99="","",Справочник!A99)</f>
        <v/>
      </c>
      <c r="B94" s="7">
        <f>IF(Справочник!B99="","",Справочник!B99)</f>
        <v/>
      </c>
      <c r="C94" s="8">
        <f>IF(A94="","",IF(B94="",SUMPRODUCT((Накладные!$C$5:$C$204=A94)*(Накладные!$E$5:$E$204=Справочник!$B$4)*(Накладные!$G$5:$G$204="Приход")*(Накладные!$F$5:$F$204))-SUMPRODUCT((Накладные!$C$5:$C$204=A94)*(Накладные!$E$5:$E$204=Справочник!$B$4)*(Накладные!$G$5:$G$204="Расход")*(Накладные!$F$5:$F$204)),SUMPRODUCT((Накладные!$C$5:$C$204=A94)*(Накладные!$D$5:$D$204=B94)*(Накладные!$E$5:$E$204=Справочник!$B$4)*(Накладные!$G$5:$G$204="Приход")*(Накладные!$F$5:$F$204))-SUMPRODUCT((Накладные!$C$5:$C$204=A94)*(Накладные!$D$5:$D$204=B94)*(Накладные!$E$5:$E$204=Справочник!$B$4)*(Накладные!$G$5:$G$204="Расход")*(Накладные!$F$5:$F$204))))</f>
        <v/>
      </c>
      <c r="D94" s="8">
        <f>IF(A94="","",IF(B94="",SUMPRODUCT((Накладные!$C$5:$C$204=A94)*(Накладные!$E$5:$E$204=Справочник!$B$5)*(Накладные!$G$5:$G$204="Приход")*(Накладные!$F$5:$F$204))-SUMPRODUCT((Накладные!$C$5:$C$204=A94)*(Накладные!$E$5:$E$204=Справочник!$B$5)*(Накладные!$G$5:$G$204="Расход")*(Накладные!$F$5:$F$204)),SUMPRODUCT((Накладные!$C$5:$C$204=A94)*(Накладные!$D$5:$D$204=B94)*(Накладные!$E$5:$E$204=Справочник!$B$5)*(Накладные!$G$5:$G$204="Приход")*(Накладные!$F$5:$F$204))-SUMPRODUCT((Накладные!$C$5:$C$204=A94)*(Накладные!$D$5:$D$204=B94)*(Накладные!$E$5:$E$204=Справочник!$B$5)*(Накладные!$G$5:$G$204="Расход")*(Накладные!$F$5:$F$204))))</f>
        <v/>
      </c>
      <c r="E94" s="8">
        <f>IF(A94="","",C94+D94)</f>
        <v/>
      </c>
    </row>
    <row r="95">
      <c r="A95" s="7">
        <f>IF(Справочник!A100="","",Справочник!A100)</f>
        <v/>
      </c>
      <c r="B95" s="7">
        <f>IF(Справочник!B100="","",Справочник!B100)</f>
        <v/>
      </c>
      <c r="C95" s="8">
        <f>IF(A95="","",IF(B95="",SUMPRODUCT((Накладные!$C$5:$C$204=A95)*(Накладные!$E$5:$E$204=Справочник!$B$4)*(Накладные!$G$5:$G$204="Приход")*(Накладные!$F$5:$F$204))-SUMPRODUCT((Накладные!$C$5:$C$204=A95)*(Накладные!$E$5:$E$204=Справочник!$B$4)*(Накладные!$G$5:$G$204="Расход")*(Накладные!$F$5:$F$204)),SUMPRODUCT((Накладные!$C$5:$C$204=A95)*(Накладные!$D$5:$D$204=B95)*(Накладные!$E$5:$E$204=Справочник!$B$4)*(Накладные!$G$5:$G$204="Приход")*(Накладные!$F$5:$F$204))-SUMPRODUCT((Накладные!$C$5:$C$204=A95)*(Накладные!$D$5:$D$204=B95)*(Накладные!$E$5:$E$204=Справочник!$B$4)*(Накладные!$G$5:$G$204="Расход")*(Накладные!$F$5:$F$204))))</f>
        <v/>
      </c>
      <c r="D95" s="8">
        <f>IF(A95="","",IF(B95="",SUMPRODUCT((Накладные!$C$5:$C$204=A95)*(Накладные!$E$5:$E$204=Справочник!$B$5)*(Накладные!$G$5:$G$204="Приход")*(Накладные!$F$5:$F$204))-SUMPRODUCT((Накладные!$C$5:$C$204=A95)*(Накладные!$E$5:$E$204=Справочник!$B$5)*(Накладные!$G$5:$G$204="Расход")*(Накладные!$F$5:$F$204)),SUMPRODUCT((Накладные!$C$5:$C$204=A95)*(Накладные!$D$5:$D$204=B95)*(Накладные!$E$5:$E$204=Справочник!$B$5)*(Накладные!$G$5:$G$204="Приход")*(Накладные!$F$5:$F$204))-SUMPRODUCT((Накладные!$C$5:$C$204=A95)*(Накладные!$D$5:$D$204=B95)*(Накладные!$E$5:$E$204=Справочник!$B$5)*(Накладные!$G$5:$G$204="Расход")*(Накладные!$F$5:$F$204))))</f>
        <v/>
      </c>
      <c r="E95" s="8">
        <f>IF(A95="","",C95+D95)</f>
        <v/>
      </c>
    </row>
    <row r="96">
      <c r="A96" s="7">
        <f>IF(Справочник!A101="","",Справочник!A101)</f>
        <v/>
      </c>
      <c r="B96" s="7">
        <f>IF(Справочник!B101="","",Справочник!B101)</f>
        <v/>
      </c>
      <c r="C96" s="8">
        <f>IF(A96="","",IF(B96="",SUMPRODUCT((Накладные!$C$5:$C$204=A96)*(Накладные!$E$5:$E$204=Справочник!$B$4)*(Накладные!$G$5:$G$204="Приход")*(Накладные!$F$5:$F$204))-SUMPRODUCT((Накладные!$C$5:$C$204=A96)*(Накладные!$E$5:$E$204=Справочник!$B$4)*(Накладные!$G$5:$G$204="Расход")*(Накладные!$F$5:$F$204)),SUMPRODUCT((Накладные!$C$5:$C$204=A96)*(Накладные!$D$5:$D$204=B96)*(Накладные!$E$5:$E$204=Справочник!$B$4)*(Накладные!$G$5:$G$204="Приход")*(Накладные!$F$5:$F$204))-SUMPRODUCT((Накладные!$C$5:$C$204=A96)*(Накладные!$D$5:$D$204=B96)*(Накладные!$E$5:$E$204=Справочник!$B$4)*(Накладные!$G$5:$G$204="Расход")*(Накладные!$F$5:$F$204))))</f>
        <v/>
      </c>
      <c r="D96" s="8">
        <f>IF(A96="","",IF(B96="",SUMPRODUCT((Накладные!$C$5:$C$204=A96)*(Накладные!$E$5:$E$204=Справочник!$B$5)*(Накладные!$G$5:$G$204="Приход")*(Накладные!$F$5:$F$204))-SUMPRODUCT((Накладные!$C$5:$C$204=A96)*(Накладные!$E$5:$E$204=Справочник!$B$5)*(Накладные!$G$5:$G$204="Расход")*(Накладные!$F$5:$F$204)),SUMPRODUCT((Накладные!$C$5:$C$204=A96)*(Накладные!$D$5:$D$204=B96)*(Накладные!$E$5:$E$204=Справочник!$B$5)*(Накладные!$G$5:$G$204="Приход")*(Накладные!$F$5:$F$204))-SUMPRODUCT((Накладные!$C$5:$C$204=A96)*(Накладные!$D$5:$D$204=B96)*(Накладные!$E$5:$E$204=Справочник!$B$5)*(Накладные!$G$5:$G$204="Расход")*(Накладные!$F$5:$F$204))))</f>
        <v/>
      </c>
      <c r="E96" s="8">
        <f>IF(A96="","",C96+D96)</f>
        <v/>
      </c>
    </row>
    <row r="97">
      <c r="A97" s="7">
        <f>IF(Справочник!A102="","",Справочник!A102)</f>
        <v/>
      </c>
      <c r="B97" s="7">
        <f>IF(Справочник!B102="","",Справочник!B102)</f>
        <v/>
      </c>
      <c r="C97" s="8">
        <f>IF(A97="","",IF(B97="",SUMPRODUCT((Накладные!$C$5:$C$204=A97)*(Накладные!$E$5:$E$204=Справочник!$B$4)*(Накладные!$G$5:$G$204="Приход")*(Накладные!$F$5:$F$204))-SUMPRODUCT((Накладные!$C$5:$C$204=A97)*(Накладные!$E$5:$E$204=Справочник!$B$4)*(Накладные!$G$5:$G$204="Расход")*(Накладные!$F$5:$F$204)),SUMPRODUCT((Накладные!$C$5:$C$204=A97)*(Накладные!$D$5:$D$204=B97)*(Накладные!$E$5:$E$204=Справочник!$B$4)*(Накладные!$G$5:$G$204="Приход")*(Накладные!$F$5:$F$204))-SUMPRODUCT((Накладные!$C$5:$C$204=A97)*(Накладные!$D$5:$D$204=B97)*(Накладные!$E$5:$E$204=Справочник!$B$4)*(Накладные!$G$5:$G$204="Расход")*(Накладные!$F$5:$F$204))))</f>
        <v/>
      </c>
      <c r="D97" s="8">
        <f>IF(A97="","",IF(B97="",SUMPRODUCT((Накладные!$C$5:$C$204=A97)*(Накладные!$E$5:$E$204=Справочник!$B$5)*(Накладные!$G$5:$G$204="Приход")*(Накладные!$F$5:$F$204))-SUMPRODUCT((Накладные!$C$5:$C$204=A97)*(Накладные!$E$5:$E$204=Справочник!$B$5)*(Накладные!$G$5:$G$204="Расход")*(Накладные!$F$5:$F$204)),SUMPRODUCT((Накладные!$C$5:$C$204=A97)*(Накладные!$D$5:$D$204=B97)*(Накладные!$E$5:$E$204=Справочник!$B$5)*(Накладные!$G$5:$G$204="Приход")*(Накладные!$F$5:$F$204))-SUMPRODUCT((Накладные!$C$5:$C$204=A97)*(Накладные!$D$5:$D$204=B97)*(Накладные!$E$5:$E$204=Справочник!$B$5)*(Накладные!$G$5:$G$204="Расход")*(Накладные!$F$5:$F$204))))</f>
        <v/>
      </c>
      <c r="E97" s="8">
        <f>IF(A97="","",C97+D97)</f>
        <v/>
      </c>
    </row>
    <row r="98">
      <c r="A98" s="7">
        <f>IF(Справочник!A103="","",Справочник!A103)</f>
        <v/>
      </c>
      <c r="B98" s="7">
        <f>IF(Справочник!B103="","",Справочник!B103)</f>
        <v/>
      </c>
      <c r="C98" s="8">
        <f>IF(A98="","",IF(B98="",SUMPRODUCT((Накладные!$C$5:$C$204=A98)*(Накладные!$E$5:$E$204=Справочник!$B$4)*(Накладные!$G$5:$G$204="Приход")*(Накладные!$F$5:$F$204))-SUMPRODUCT((Накладные!$C$5:$C$204=A98)*(Накладные!$E$5:$E$204=Справочник!$B$4)*(Накладные!$G$5:$G$204="Расход")*(Накладные!$F$5:$F$204)),SUMPRODUCT((Накладные!$C$5:$C$204=A98)*(Накладные!$D$5:$D$204=B98)*(Накладные!$E$5:$E$204=Справочник!$B$4)*(Накладные!$G$5:$G$204="Приход")*(Накладные!$F$5:$F$204))-SUMPRODUCT((Накладные!$C$5:$C$204=A98)*(Накладные!$D$5:$D$204=B98)*(Накладные!$E$5:$E$204=Справочник!$B$4)*(Накладные!$G$5:$G$204="Расход")*(Накладные!$F$5:$F$204))))</f>
        <v/>
      </c>
      <c r="D98" s="8">
        <f>IF(A98="","",IF(B98="",SUMPRODUCT((Накладные!$C$5:$C$204=A98)*(Накладные!$E$5:$E$204=Справочник!$B$5)*(Накладные!$G$5:$G$204="Приход")*(Накладные!$F$5:$F$204))-SUMPRODUCT((Накладные!$C$5:$C$204=A98)*(Накладные!$E$5:$E$204=Справочник!$B$5)*(Накладные!$G$5:$G$204="Расход")*(Накладные!$F$5:$F$204)),SUMPRODUCT((Накладные!$C$5:$C$204=A98)*(Накладные!$D$5:$D$204=B98)*(Накладные!$E$5:$E$204=Справочник!$B$5)*(Накладные!$G$5:$G$204="Приход")*(Накладные!$F$5:$F$204))-SUMPRODUCT((Накладные!$C$5:$C$204=A98)*(Накладные!$D$5:$D$204=B98)*(Накладные!$E$5:$E$204=Справочник!$B$5)*(Накладные!$G$5:$G$204="Расход")*(Накладные!$F$5:$F$204))))</f>
        <v/>
      </c>
      <c r="E98" s="8">
        <f>IF(A98="","",C98+D98)</f>
        <v/>
      </c>
    </row>
    <row r="99">
      <c r="A99" s="7">
        <f>IF(Справочник!A104="","",Справочник!A104)</f>
        <v/>
      </c>
      <c r="B99" s="7">
        <f>IF(Справочник!B104="","",Справочник!B104)</f>
        <v/>
      </c>
      <c r="C99" s="8">
        <f>IF(A99="","",IF(B99="",SUMPRODUCT((Накладные!$C$5:$C$204=A99)*(Накладные!$E$5:$E$204=Справочник!$B$4)*(Накладные!$G$5:$G$204="Приход")*(Накладные!$F$5:$F$204))-SUMPRODUCT((Накладные!$C$5:$C$204=A99)*(Накладные!$E$5:$E$204=Справочник!$B$4)*(Накладные!$G$5:$G$204="Расход")*(Накладные!$F$5:$F$204)),SUMPRODUCT((Накладные!$C$5:$C$204=A99)*(Накладные!$D$5:$D$204=B99)*(Накладные!$E$5:$E$204=Справочник!$B$4)*(Накладные!$G$5:$G$204="Приход")*(Накладные!$F$5:$F$204))-SUMPRODUCT((Накладные!$C$5:$C$204=A99)*(Накладные!$D$5:$D$204=B99)*(Накладные!$E$5:$E$204=Справочник!$B$4)*(Накладные!$G$5:$G$204="Расход")*(Накладные!$F$5:$F$204))))</f>
        <v/>
      </c>
      <c r="D99" s="8">
        <f>IF(A99="","",IF(B99="",SUMPRODUCT((Накладные!$C$5:$C$204=A99)*(Накладные!$E$5:$E$204=Справочник!$B$5)*(Накладные!$G$5:$G$204="Приход")*(Накладные!$F$5:$F$204))-SUMPRODUCT((Накладные!$C$5:$C$204=A99)*(Накладные!$E$5:$E$204=Справочник!$B$5)*(Накладные!$G$5:$G$204="Расход")*(Накладные!$F$5:$F$204)),SUMPRODUCT((Накладные!$C$5:$C$204=A99)*(Накладные!$D$5:$D$204=B99)*(Накладные!$E$5:$E$204=Справочник!$B$5)*(Накладные!$G$5:$G$204="Приход")*(Накладные!$F$5:$F$204))-SUMPRODUCT((Накладные!$C$5:$C$204=A99)*(Накладные!$D$5:$D$204=B99)*(Накладные!$E$5:$E$204=Справочник!$B$5)*(Накладные!$G$5:$G$204="Расход")*(Накладные!$F$5:$F$204))))</f>
        <v/>
      </c>
      <c r="E99" s="8">
        <f>IF(A99="","",C99+D99)</f>
        <v/>
      </c>
    </row>
    <row r="100">
      <c r="A100" s="7">
        <f>IF(Справочник!A105="","",Справочник!A105)</f>
        <v/>
      </c>
      <c r="B100" s="7">
        <f>IF(Справочник!B105="","",Справочник!B105)</f>
        <v/>
      </c>
      <c r="C100" s="8">
        <f>IF(A100="","",IF(B100="",SUMPRODUCT((Накладные!$C$5:$C$204=A100)*(Накладные!$E$5:$E$204=Справочник!$B$4)*(Накладные!$G$5:$G$204="Приход")*(Накладные!$F$5:$F$204))-SUMPRODUCT((Накладные!$C$5:$C$204=A100)*(Накладные!$E$5:$E$204=Справочник!$B$4)*(Накладные!$G$5:$G$204="Расход")*(Накладные!$F$5:$F$204)),SUMPRODUCT((Накладные!$C$5:$C$204=A100)*(Накладные!$D$5:$D$204=B100)*(Накладные!$E$5:$E$204=Справочник!$B$4)*(Накладные!$G$5:$G$204="Приход")*(Накладные!$F$5:$F$204))-SUMPRODUCT((Накладные!$C$5:$C$204=A100)*(Накладные!$D$5:$D$204=B100)*(Накладные!$E$5:$E$204=Справочник!$B$4)*(Накладные!$G$5:$G$204="Расход")*(Накладные!$F$5:$F$204))))</f>
        <v/>
      </c>
      <c r="D100" s="8">
        <f>IF(A100="","",IF(B100="",SUMPRODUCT((Накладные!$C$5:$C$204=A100)*(Накладные!$E$5:$E$204=Справочник!$B$5)*(Накладные!$G$5:$G$204="Приход")*(Накладные!$F$5:$F$204))-SUMPRODUCT((Накладные!$C$5:$C$204=A100)*(Накладные!$E$5:$E$204=Справочник!$B$5)*(Накладные!$G$5:$G$204="Расход")*(Накладные!$F$5:$F$204)),SUMPRODUCT((Накладные!$C$5:$C$204=A100)*(Накладные!$D$5:$D$204=B100)*(Накладные!$E$5:$E$204=Справочник!$B$5)*(Накладные!$G$5:$G$204="Приход")*(Накладные!$F$5:$F$204))-SUMPRODUCT((Накладные!$C$5:$C$204=A100)*(Накладные!$D$5:$D$204=B100)*(Накладные!$E$5:$E$204=Справочник!$B$5)*(Накладные!$G$5:$G$204="Расход")*(Накладные!$F$5:$F$204))))</f>
        <v/>
      </c>
      <c r="E100" s="8">
        <f>IF(A100="","",C100+D100)</f>
        <v/>
      </c>
    </row>
    <row r="101">
      <c r="A101" s="7">
        <f>IF(Справочник!A106="","",Справочник!A106)</f>
        <v/>
      </c>
      <c r="B101" s="7">
        <f>IF(Справочник!B106="","",Справочник!B106)</f>
        <v/>
      </c>
      <c r="C101" s="8">
        <f>IF(A101="","",IF(B101="",SUMPRODUCT((Накладные!$C$5:$C$204=A101)*(Накладные!$E$5:$E$204=Справочник!$B$4)*(Накладные!$G$5:$G$204="Приход")*(Накладные!$F$5:$F$204))-SUMPRODUCT((Накладные!$C$5:$C$204=A101)*(Накладные!$E$5:$E$204=Справочник!$B$4)*(Накладные!$G$5:$G$204="Расход")*(Накладные!$F$5:$F$204)),SUMPRODUCT((Накладные!$C$5:$C$204=A101)*(Накладные!$D$5:$D$204=B101)*(Накладные!$E$5:$E$204=Справочник!$B$4)*(Накладные!$G$5:$G$204="Приход")*(Накладные!$F$5:$F$204))-SUMPRODUCT((Накладные!$C$5:$C$204=A101)*(Накладные!$D$5:$D$204=B101)*(Накладные!$E$5:$E$204=Справочник!$B$4)*(Накладные!$G$5:$G$204="Расход")*(Накладные!$F$5:$F$204))))</f>
        <v/>
      </c>
      <c r="D101" s="8">
        <f>IF(A101="","",IF(B101="",SUMPRODUCT((Накладные!$C$5:$C$204=A101)*(Накладные!$E$5:$E$204=Справочник!$B$5)*(Накладные!$G$5:$G$204="Приход")*(Накладные!$F$5:$F$204))-SUMPRODUCT((Накладные!$C$5:$C$204=A101)*(Накладные!$E$5:$E$204=Справочник!$B$5)*(Накладные!$G$5:$G$204="Расход")*(Накладные!$F$5:$F$204)),SUMPRODUCT((Накладные!$C$5:$C$204=A101)*(Накладные!$D$5:$D$204=B101)*(Накладные!$E$5:$E$204=Справочник!$B$5)*(Накладные!$G$5:$G$204="Приход")*(Накладные!$F$5:$F$204))-SUMPRODUCT((Накладные!$C$5:$C$204=A101)*(Накладные!$D$5:$D$204=B101)*(Накладные!$E$5:$E$204=Справочник!$B$5)*(Накладные!$G$5:$G$204="Расход")*(Накладные!$F$5:$F$204))))</f>
        <v/>
      </c>
      <c r="E101" s="8">
        <f>IF(A101="","",C101+D101)</f>
        <v/>
      </c>
    </row>
    <row r="102">
      <c r="A102" s="7">
        <f>IF(Справочник!A107="","",Справочник!A107)</f>
        <v/>
      </c>
      <c r="B102" s="7">
        <f>IF(Справочник!B107="","",Справочник!B107)</f>
        <v/>
      </c>
      <c r="C102" s="8">
        <f>IF(A102="","",IF(B102="",SUMPRODUCT((Накладные!$C$5:$C$204=A102)*(Накладные!$E$5:$E$204=Справочник!$B$4)*(Накладные!$G$5:$G$204="Приход")*(Накладные!$F$5:$F$204))-SUMPRODUCT((Накладные!$C$5:$C$204=A102)*(Накладные!$E$5:$E$204=Справочник!$B$4)*(Накладные!$G$5:$G$204="Расход")*(Накладные!$F$5:$F$204)),SUMPRODUCT((Накладные!$C$5:$C$204=A102)*(Накладные!$D$5:$D$204=B102)*(Накладные!$E$5:$E$204=Справочник!$B$4)*(Накладные!$G$5:$G$204="Приход")*(Накладные!$F$5:$F$204))-SUMPRODUCT((Накладные!$C$5:$C$204=A102)*(Накладные!$D$5:$D$204=B102)*(Накладные!$E$5:$E$204=Справочник!$B$4)*(Накладные!$G$5:$G$204="Расход")*(Накладные!$F$5:$F$204))))</f>
        <v/>
      </c>
      <c r="D102" s="8">
        <f>IF(A102="","",IF(B102="",SUMPRODUCT((Накладные!$C$5:$C$204=A102)*(Накладные!$E$5:$E$204=Справочник!$B$5)*(Накладные!$G$5:$G$204="Приход")*(Накладные!$F$5:$F$204))-SUMPRODUCT((Накладные!$C$5:$C$204=A102)*(Накладные!$E$5:$E$204=Справочник!$B$5)*(Накладные!$G$5:$G$204="Расход")*(Накладные!$F$5:$F$204)),SUMPRODUCT((Накладные!$C$5:$C$204=A102)*(Накладные!$D$5:$D$204=B102)*(Накладные!$E$5:$E$204=Справочник!$B$5)*(Накладные!$G$5:$G$204="Приход")*(Накладные!$F$5:$F$204))-SUMPRODUCT((Накладные!$C$5:$C$204=A102)*(Накладные!$D$5:$D$204=B102)*(Накладные!$E$5:$E$204=Справочник!$B$5)*(Накладные!$G$5:$G$204="Расход")*(Накладные!$F$5:$F$204))))</f>
        <v/>
      </c>
      <c r="E102" s="8">
        <f>IF(A102="","",C102+D102)</f>
        <v/>
      </c>
    </row>
    <row r="103">
      <c r="A103" s="7">
        <f>IF(Справочник!A108="","",Справочник!A108)</f>
        <v/>
      </c>
      <c r="B103" s="7">
        <f>IF(Справочник!B108="","",Справочник!B108)</f>
        <v/>
      </c>
      <c r="C103" s="8">
        <f>IF(A103="","",IF(B103="",SUMPRODUCT((Накладные!$C$5:$C$204=A103)*(Накладные!$E$5:$E$204=Справочник!$B$4)*(Накладные!$G$5:$G$204="Приход")*(Накладные!$F$5:$F$204))-SUMPRODUCT((Накладные!$C$5:$C$204=A103)*(Накладные!$E$5:$E$204=Справочник!$B$4)*(Накладные!$G$5:$G$204="Расход")*(Накладные!$F$5:$F$204)),SUMPRODUCT((Накладные!$C$5:$C$204=A103)*(Накладные!$D$5:$D$204=B103)*(Накладные!$E$5:$E$204=Справочник!$B$4)*(Накладные!$G$5:$G$204="Приход")*(Накладные!$F$5:$F$204))-SUMPRODUCT((Накладные!$C$5:$C$204=A103)*(Накладные!$D$5:$D$204=B103)*(Накладные!$E$5:$E$204=Справочник!$B$4)*(Накладные!$G$5:$G$204="Расход")*(Накладные!$F$5:$F$204))))</f>
        <v/>
      </c>
      <c r="D103" s="8">
        <f>IF(A103="","",IF(B103="",SUMPRODUCT((Накладные!$C$5:$C$204=A103)*(Накладные!$E$5:$E$204=Справочник!$B$5)*(Накладные!$G$5:$G$204="Приход")*(Накладные!$F$5:$F$204))-SUMPRODUCT((Накладные!$C$5:$C$204=A103)*(Накладные!$E$5:$E$204=Справочник!$B$5)*(Накладные!$G$5:$G$204="Расход")*(Накладные!$F$5:$F$204)),SUMPRODUCT((Накладные!$C$5:$C$204=A103)*(Накладные!$D$5:$D$204=B103)*(Накладные!$E$5:$E$204=Справочник!$B$5)*(Накладные!$G$5:$G$204="Приход")*(Накладные!$F$5:$F$204))-SUMPRODUCT((Накладные!$C$5:$C$204=A103)*(Накладные!$D$5:$D$204=B103)*(Накладные!$E$5:$E$204=Справочник!$B$5)*(Накладные!$G$5:$G$204="Расход")*(Накладные!$F$5:$F$204))))</f>
        <v/>
      </c>
      <c r="E103" s="8">
        <f>IF(A103="","",C103+D103)</f>
        <v/>
      </c>
    </row>
    <row r="104">
      <c r="A104" s="7">
        <f>IF(Справочник!A109="","",Справочник!A109)</f>
        <v/>
      </c>
      <c r="B104" s="7">
        <f>IF(Справочник!B109="","",Справочник!B109)</f>
        <v/>
      </c>
      <c r="C104" s="8">
        <f>IF(A104="","",IF(B104="",SUMPRODUCT((Накладные!$C$5:$C$204=A104)*(Накладные!$E$5:$E$204=Справочник!$B$4)*(Накладные!$G$5:$G$204="Приход")*(Накладные!$F$5:$F$204))-SUMPRODUCT((Накладные!$C$5:$C$204=A104)*(Накладные!$E$5:$E$204=Справочник!$B$4)*(Накладные!$G$5:$G$204="Расход")*(Накладные!$F$5:$F$204)),SUMPRODUCT((Накладные!$C$5:$C$204=A104)*(Накладные!$D$5:$D$204=B104)*(Накладные!$E$5:$E$204=Справочник!$B$4)*(Накладные!$G$5:$G$204="Приход")*(Накладные!$F$5:$F$204))-SUMPRODUCT((Накладные!$C$5:$C$204=A104)*(Накладные!$D$5:$D$204=B104)*(Накладные!$E$5:$E$204=Справочник!$B$4)*(Накладные!$G$5:$G$204="Расход")*(Накладные!$F$5:$F$204))))</f>
        <v/>
      </c>
      <c r="D104" s="8">
        <f>IF(A104="","",IF(B104="",SUMPRODUCT((Накладные!$C$5:$C$204=A104)*(Накладные!$E$5:$E$204=Справочник!$B$5)*(Накладные!$G$5:$G$204="Приход")*(Накладные!$F$5:$F$204))-SUMPRODUCT((Накладные!$C$5:$C$204=A104)*(Накладные!$E$5:$E$204=Справочник!$B$5)*(Накладные!$G$5:$G$204="Расход")*(Накладные!$F$5:$F$204)),SUMPRODUCT((Накладные!$C$5:$C$204=A104)*(Накладные!$D$5:$D$204=B104)*(Накладные!$E$5:$E$204=Справочник!$B$5)*(Накладные!$G$5:$G$204="Приход")*(Накладные!$F$5:$F$204))-SUMPRODUCT((Накладные!$C$5:$C$204=A104)*(Накладные!$D$5:$D$204=B104)*(Накладные!$E$5:$E$204=Справочник!$B$5)*(Накладные!$G$5:$G$204="Расход")*(Накладные!$F$5:$F$204))))</f>
        <v/>
      </c>
      <c r="E104" s="8">
        <f>IF(A104="","",C104+D104)</f>
        <v/>
      </c>
    </row>
    <row r="105">
      <c r="A105" s="7">
        <f>IF(Справочник!A110="","",Справочник!A110)</f>
        <v/>
      </c>
      <c r="B105" s="7">
        <f>IF(Справочник!B110="","",Справочник!B110)</f>
        <v/>
      </c>
      <c r="C105" s="8">
        <f>IF(A105="","",IF(B105="",SUMPRODUCT((Накладные!$C$5:$C$204=A105)*(Накладные!$E$5:$E$204=Справочник!$B$4)*(Накладные!$G$5:$G$204="Приход")*(Накладные!$F$5:$F$204))-SUMPRODUCT((Накладные!$C$5:$C$204=A105)*(Накладные!$E$5:$E$204=Справочник!$B$4)*(Накладные!$G$5:$G$204="Расход")*(Накладные!$F$5:$F$204)),SUMPRODUCT((Накладные!$C$5:$C$204=A105)*(Накладные!$D$5:$D$204=B105)*(Накладные!$E$5:$E$204=Справочник!$B$4)*(Накладные!$G$5:$G$204="Приход")*(Накладные!$F$5:$F$204))-SUMPRODUCT((Накладные!$C$5:$C$204=A105)*(Накладные!$D$5:$D$204=B105)*(Накладные!$E$5:$E$204=Справочник!$B$4)*(Накладные!$G$5:$G$204="Расход")*(Накладные!$F$5:$F$204))))</f>
        <v/>
      </c>
      <c r="D105" s="8">
        <f>IF(A105="","",IF(B105="",SUMPRODUCT((Накладные!$C$5:$C$204=A105)*(Накладные!$E$5:$E$204=Справочник!$B$5)*(Накладные!$G$5:$G$204="Приход")*(Накладные!$F$5:$F$204))-SUMPRODUCT((Накладные!$C$5:$C$204=A105)*(Накладные!$E$5:$E$204=Справочник!$B$5)*(Накладные!$G$5:$G$204="Расход")*(Накладные!$F$5:$F$204)),SUMPRODUCT((Накладные!$C$5:$C$204=A105)*(Накладные!$D$5:$D$204=B105)*(Накладные!$E$5:$E$204=Справочник!$B$5)*(Накладные!$G$5:$G$204="Приход")*(Накладные!$F$5:$F$204))-SUMPRODUCT((Накладные!$C$5:$C$204=A105)*(Накладные!$D$5:$D$204=B105)*(Накладные!$E$5:$E$204=Справочник!$B$5)*(Накладные!$G$5:$G$204="Расход")*(Накладные!$F$5:$F$204))))</f>
        <v/>
      </c>
      <c r="E105" s="8">
        <f>IF(A105="","",C105+D105)</f>
        <v/>
      </c>
    </row>
    <row r="106">
      <c r="A106" s="7">
        <f>IF(Справочник!A111="","",Справочник!A111)</f>
        <v/>
      </c>
      <c r="B106" s="7">
        <f>IF(Справочник!B111="","",Справочник!B111)</f>
        <v/>
      </c>
      <c r="C106" s="8">
        <f>IF(A106="","",IF(B106="",SUMPRODUCT((Накладные!$C$5:$C$204=A106)*(Накладные!$E$5:$E$204=Справочник!$B$4)*(Накладные!$G$5:$G$204="Приход")*(Накладные!$F$5:$F$204))-SUMPRODUCT((Накладные!$C$5:$C$204=A106)*(Накладные!$E$5:$E$204=Справочник!$B$4)*(Накладные!$G$5:$G$204="Расход")*(Накладные!$F$5:$F$204)),SUMPRODUCT((Накладные!$C$5:$C$204=A106)*(Накладные!$D$5:$D$204=B106)*(Накладные!$E$5:$E$204=Справочник!$B$4)*(Накладные!$G$5:$G$204="Приход")*(Накладные!$F$5:$F$204))-SUMPRODUCT((Накладные!$C$5:$C$204=A106)*(Накладные!$D$5:$D$204=B106)*(Накладные!$E$5:$E$204=Справочник!$B$4)*(Накладные!$G$5:$G$204="Расход")*(Накладные!$F$5:$F$204))))</f>
        <v/>
      </c>
      <c r="D106" s="8">
        <f>IF(A106="","",IF(B106="",SUMPRODUCT((Накладные!$C$5:$C$204=A106)*(Накладные!$E$5:$E$204=Справочник!$B$5)*(Накладные!$G$5:$G$204="Приход")*(Накладные!$F$5:$F$204))-SUMPRODUCT((Накладные!$C$5:$C$204=A106)*(Накладные!$E$5:$E$204=Справочник!$B$5)*(Накладные!$G$5:$G$204="Расход")*(Накладные!$F$5:$F$204)),SUMPRODUCT((Накладные!$C$5:$C$204=A106)*(Накладные!$D$5:$D$204=B106)*(Накладные!$E$5:$E$204=Справочник!$B$5)*(Накладные!$G$5:$G$204="Приход")*(Накладные!$F$5:$F$204))-SUMPRODUCT((Накладные!$C$5:$C$204=A106)*(Накладные!$D$5:$D$204=B106)*(Накладные!$E$5:$E$204=Справочник!$B$5)*(Накладные!$G$5:$G$204="Расход")*(Накладные!$F$5:$F$204))))</f>
        <v/>
      </c>
      <c r="E106" s="8">
        <f>IF(A106="","",C106+D106)</f>
        <v/>
      </c>
    </row>
    <row r="107">
      <c r="A107" s="7">
        <f>IF(Справочник!A112="","",Справочник!A112)</f>
        <v/>
      </c>
      <c r="B107" s="7">
        <f>IF(Справочник!B112="","",Справочник!B112)</f>
        <v/>
      </c>
      <c r="C107" s="8">
        <f>IF(A107="","",IF(B107="",SUMPRODUCT((Накладные!$C$5:$C$204=A107)*(Накладные!$E$5:$E$204=Справочник!$B$4)*(Накладные!$G$5:$G$204="Приход")*(Накладные!$F$5:$F$204))-SUMPRODUCT((Накладные!$C$5:$C$204=A107)*(Накладные!$E$5:$E$204=Справочник!$B$4)*(Накладные!$G$5:$G$204="Расход")*(Накладные!$F$5:$F$204)),SUMPRODUCT((Накладные!$C$5:$C$204=A107)*(Накладные!$D$5:$D$204=B107)*(Накладные!$E$5:$E$204=Справочник!$B$4)*(Накладные!$G$5:$G$204="Приход")*(Накладные!$F$5:$F$204))-SUMPRODUCT((Накладные!$C$5:$C$204=A107)*(Накладные!$D$5:$D$204=B107)*(Накладные!$E$5:$E$204=Справочник!$B$4)*(Накладные!$G$5:$G$204="Расход")*(Накладные!$F$5:$F$204))))</f>
        <v/>
      </c>
      <c r="D107" s="8">
        <f>IF(A107="","",IF(B107="",SUMPRODUCT((Накладные!$C$5:$C$204=A107)*(Накладные!$E$5:$E$204=Справочник!$B$5)*(Накладные!$G$5:$G$204="Приход")*(Накладные!$F$5:$F$204))-SUMPRODUCT((Накладные!$C$5:$C$204=A107)*(Накладные!$E$5:$E$204=Справочник!$B$5)*(Накладные!$G$5:$G$204="Расход")*(Накладные!$F$5:$F$204)),SUMPRODUCT((Накладные!$C$5:$C$204=A107)*(Накладные!$D$5:$D$204=B107)*(Накладные!$E$5:$E$204=Справочник!$B$5)*(Накладные!$G$5:$G$204="Приход")*(Накладные!$F$5:$F$204))-SUMPRODUCT((Накладные!$C$5:$C$204=A107)*(Накладные!$D$5:$D$204=B107)*(Накладные!$E$5:$E$204=Справочник!$B$5)*(Накладные!$G$5:$G$204="Расход")*(Накладные!$F$5:$F$204))))</f>
        <v/>
      </c>
      <c r="E107" s="8">
        <f>IF(A107="","",C107+D107)</f>
        <v/>
      </c>
    </row>
    <row r="108">
      <c r="A108" s="7">
        <f>IF(Справочник!A113="","",Справочник!A113)</f>
        <v/>
      </c>
      <c r="B108" s="7">
        <f>IF(Справочник!B113="","",Справочник!B113)</f>
        <v/>
      </c>
      <c r="C108" s="8">
        <f>IF(A108="","",IF(B108="",SUMPRODUCT((Накладные!$C$5:$C$204=A108)*(Накладные!$E$5:$E$204=Справочник!$B$4)*(Накладные!$G$5:$G$204="Приход")*(Накладные!$F$5:$F$204))-SUMPRODUCT((Накладные!$C$5:$C$204=A108)*(Накладные!$E$5:$E$204=Справочник!$B$4)*(Накладные!$G$5:$G$204="Расход")*(Накладные!$F$5:$F$204)),SUMPRODUCT((Накладные!$C$5:$C$204=A108)*(Накладные!$D$5:$D$204=B108)*(Накладные!$E$5:$E$204=Справочник!$B$4)*(Накладные!$G$5:$G$204="Приход")*(Накладные!$F$5:$F$204))-SUMPRODUCT((Накладные!$C$5:$C$204=A108)*(Накладные!$D$5:$D$204=B108)*(Накладные!$E$5:$E$204=Справочник!$B$4)*(Накладные!$G$5:$G$204="Расход")*(Накладные!$F$5:$F$204))))</f>
        <v/>
      </c>
      <c r="D108" s="8">
        <f>IF(A108="","",IF(B108="",SUMPRODUCT((Накладные!$C$5:$C$204=A108)*(Накладные!$E$5:$E$204=Справочник!$B$5)*(Накладные!$G$5:$G$204="Приход")*(Накладные!$F$5:$F$204))-SUMPRODUCT((Накладные!$C$5:$C$204=A108)*(Накладные!$E$5:$E$204=Справочник!$B$5)*(Накладные!$G$5:$G$204="Расход")*(Накладные!$F$5:$F$204)),SUMPRODUCT((Накладные!$C$5:$C$204=A108)*(Накладные!$D$5:$D$204=B108)*(Накладные!$E$5:$E$204=Справочник!$B$5)*(Накладные!$G$5:$G$204="Приход")*(Накладные!$F$5:$F$204))-SUMPRODUCT((Накладные!$C$5:$C$204=A108)*(Накладные!$D$5:$D$204=B108)*(Накладные!$E$5:$E$204=Справочник!$B$5)*(Накладные!$G$5:$G$204="Расход")*(Накладные!$F$5:$F$204))))</f>
        <v/>
      </c>
      <c r="E108" s="8">
        <f>IF(A108="","",C108+D108)</f>
        <v/>
      </c>
    </row>
    <row r="109">
      <c r="A109" s="7">
        <f>IF(Справочник!A114="","",Справочник!A114)</f>
        <v/>
      </c>
      <c r="B109" s="7">
        <f>IF(Справочник!B114="","",Справочник!B114)</f>
        <v/>
      </c>
      <c r="C109" s="8">
        <f>IF(A109="","",IF(B109="",SUMPRODUCT((Накладные!$C$5:$C$204=A109)*(Накладные!$E$5:$E$204=Справочник!$B$4)*(Накладные!$G$5:$G$204="Приход")*(Накладные!$F$5:$F$204))-SUMPRODUCT((Накладные!$C$5:$C$204=A109)*(Накладные!$E$5:$E$204=Справочник!$B$4)*(Накладные!$G$5:$G$204="Расход")*(Накладные!$F$5:$F$204)),SUMPRODUCT((Накладные!$C$5:$C$204=A109)*(Накладные!$D$5:$D$204=B109)*(Накладные!$E$5:$E$204=Справочник!$B$4)*(Накладные!$G$5:$G$204="Приход")*(Накладные!$F$5:$F$204))-SUMPRODUCT((Накладные!$C$5:$C$204=A109)*(Накладные!$D$5:$D$204=B109)*(Накладные!$E$5:$E$204=Справочник!$B$4)*(Накладные!$G$5:$G$204="Расход")*(Накладные!$F$5:$F$204))))</f>
        <v/>
      </c>
      <c r="D109" s="8">
        <f>IF(A109="","",IF(B109="",SUMPRODUCT((Накладные!$C$5:$C$204=A109)*(Накладные!$E$5:$E$204=Справочник!$B$5)*(Накладные!$G$5:$G$204="Приход")*(Накладные!$F$5:$F$204))-SUMPRODUCT((Накладные!$C$5:$C$204=A109)*(Накладные!$E$5:$E$204=Справочник!$B$5)*(Накладные!$G$5:$G$204="Расход")*(Накладные!$F$5:$F$204)),SUMPRODUCT((Накладные!$C$5:$C$204=A109)*(Накладные!$D$5:$D$204=B109)*(Накладные!$E$5:$E$204=Справочник!$B$5)*(Накладные!$G$5:$G$204="Приход")*(Накладные!$F$5:$F$204))-SUMPRODUCT((Накладные!$C$5:$C$204=A109)*(Накладные!$D$5:$D$204=B109)*(Накладные!$E$5:$E$204=Справочник!$B$5)*(Накладные!$G$5:$G$204="Расход")*(Накладные!$F$5:$F$204))))</f>
        <v/>
      </c>
      <c r="E109" s="8">
        <f>IF(A109="","",C109+D109)</f>
        <v/>
      </c>
    </row>
    <row r="110">
      <c r="A110" s="7">
        <f>IF(Справочник!A115="","",Справочник!A115)</f>
        <v/>
      </c>
      <c r="B110" s="7">
        <f>IF(Справочник!B115="","",Справочник!B115)</f>
        <v/>
      </c>
      <c r="C110" s="8">
        <f>IF(A110="","",IF(B110="",SUMPRODUCT((Накладные!$C$5:$C$204=A110)*(Накладные!$E$5:$E$204=Справочник!$B$4)*(Накладные!$G$5:$G$204="Приход")*(Накладные!$F$5:$F$204))-SUMPRODUCT((Накладные!$C$5:$C$204=A110)*(Накладные!$E$5:$E$204=Справочник!$B$4)*(Накладные!$G$5:$G$204="Расход")*(Накладные!$F$5:$F$204)),SUMPRODUCT((Накладные!$C$5:$C$204=A110)*(Накладные!$D$5:$D$204=B110)*(Накладные!$E$5:$E$204=Справочник!$B$4)*(Накладные!$G$5:$G$204="Приход")*(Накладные!$F$5:$F$204))-SUMPRODUCT((Накладные!$C$5:$C$204=A110)*(Накладные!$D$5:$D$204=B110)*(Накладные!$E$5:$E$204=Справочник!$B$4)*(Накладные!$G$5:$G$204="Расход")*(Накладные!$F$5:$F$204))))</f>
        <v/>
      </c>
      <c r="D110" s="8">
        <f>IF(A110="","",IF(B110="",SUMPRODUCT((Накладные!$C$5:$C$204=A110)*(Накладные!$E$5:$E$204=Справочник!$B$5)*(Накладные!$G$5:$G$204="Приход")*(Накладные!$F$5:$F$204))-SUMPRODUCT((Накладные!$C$5:$C$204=A110)*(Накладные!$E$5:$E$204=Справочник!$B$5)*(Накладные!$G$5:$G$204="Расход")*(Накладные!$F$5:$F$204)),SUMPRODUCT((Накладные!$C$5:$C$204=A110)*(Накладные!$D$5:$D$204=B110)*(Накладные!$E$5:$E$204=Справочник!$B$5)*(Накладные!$G$5:$G$204="Приход")*(Накладные!$F$5:$F$204))-SUMPRODUCT((Накладные!$C$5:$C$204=A110)*(Накладные!$D$5:$D$204=B110)*(Накладные!$E$5:$E$204=Справочник!$B$5)*(Накладные!$G$5:$G$204="Расход")*(Накладные!$F$5:$F$204))))</f>
        <v/>
      </c>
      <c r="E110" s="8">
        <f>IF(A110="","",C110+D110)</f>
        <v/>
      </c>
    </row>
    <row r="111">
      <c r="A111" s="7">
        <f>IF(Справочник!A116="","",Справочник!A116)</f>
        <v/>
      </c>
      <c r="B111" s="7">
        <f>IF(Справочник!B116="","",Справочник!B116)</f>
        <v/>
      </c>
      <c r="C111" s="8">
        <f>IF(A111="","",IF(B111="",SUMPRODUCT((Накладные!$C$5:$C$204=A111)*(Накладные!$E$5:$E$204=Справочник!$B$4)*(Накладные!$G$5:$G$204="Приход")*(Накладные!$F$5:$F$204))-SUMPRODUCT((Накладные!$C$5:$C$204=A111)*(Накладные!$E$5:$E$204=Справочник!$B$4)*(Накладные!$G$5:$G$204="Расход")*(Накладные!$F$5:$F$204)),SUMPRODUCT((Накладные!$C$5:$C$204=A111)*(Накладные!$D$5:$D$204=B111)*(Накладные!$E$5:$E$204=Справочник!$B$4)*(Накладные!$G$5:$G$204="Приход")*(Накладные!$F$5:$F$204))-SUMPRODUCT((Накладные!$C$5:$C$204=A111)*(Накладные!$D$5:$D$204=B111)*(Накладные!$E$5:$E$204=Справочник!$B$4)*(Накладные!$G$5:$G$204="Расход")*(Накладные!$F$5:$F$204))))</f>
        <v/>
      </c>
      <c r="D111" s="8">
        <f>IF(A111="","",IF(B111="",SUMPRODUCT((Накладные!$C$5:$C$204=A111)*(Накладные!$E$5:$E$204=Справочник!$B$5)*(Накладные!$G$5:$G$204="Приход")*(Накладные!$F$5:$F$204))-SUMPRODUCT((Накладные!$C$5:$C$204=A111)*(Накладные!$E$5:$E$204=Справочник!$B$5)*(Накладные!$G$5:$G$204="Расход")*(Накладные!$F$5:$F$204)),SUMPRODUCT((Накладные!$C$5:$C$204=A111)*(Накладные!$D$5:$D$204=B111)*(Накладные!$E$5:$E$204=Справочник!$B$5)*(Накладные!$G$5:$G$204="Приход")*(Накладные!$F$5:$F$204))-SUMPRODUCT((Накладные!$C$5:$C$204=A111)*(Накладные!$D$5:$D$204=B111)*(Накладные!$E$5:$E$204=Справочник!$B$5)*(Накладные!$G$5:$G$204="Расход")*(Накладные!$F$5:$F$204))))</f>
        <v/>
      </c>
      <c r="E111" s="8">
        <f>IF(A111="","",C111+D111)</f>
        <v/>
      </c>
    </row>
    <row r="112">
      <c r="A112" s="7">
        <f>IF(Справочник!A117="","",Справочник!A117)</f>
        <v/>
      </c>
      <c r="B112" s="7">
        <f>IF(Справочник!B117="","",Справочник!B117)</f>
        <v/>
      </c>
      <c r="C112" s="8">
        <f>IF(A112="","",IF(B112="",SUMPRODUCT((Накладные!$C$5:$C$204=A112)*(Накладные!$E$5:$E$204=Справочник!$B$4)*(Накладные!$G$5:$G$204="Приход")*(Накладные!$F$5:$F$204))-SUMPRODUCT((Накладные!$C$5:$C$204=A112)*(Накладные!$E$5:$E$204=Справочник!$B$4)*(Накладные!$G$5:$G$204="Расход")*(Накладные!$F$5:$F$204)),SUMPRODUCT((Накладные!$C$5:$C$204=A112)*(Накладные!$D$5:$D$204=B112)*(Накладные!$E$5:$E$204=Справочник!$B$4)*(Накладные!$G$5:$G$204="Приход")*(Накладные!$F$5:$F$204))-SUMPRODUCT((Накладные!$C$5:$C$204=A112)*(Накладные!$D$5:$D$204=B112)*(Накладные!$E$5:$E$204=Справочник!$B$4)*(Накладные!$G$5:$G$204="Расход")*(Накладные!$F$5:$F$204))))</f>
        <v/>
      </c>
      <c r="D112" s="8">
        <f>IF(A112="","",IF(B112="",SUMPRODUCT((Накладные!$C$5:$C$204=A112)*(Накладные!$E$5:$E$204=Справочник!$B$5)*(Накладные!$G$5:$G$204="Приход")*(Накладные!$F$5:$F$204))-SUMPRODUCT((Накладные!$C$5:$C$204=A112)*(Накладные!$E$5:$E$204=Справочник!$B$5)*(Накладные!$G$5:$G$204="Расход")*(Накладные!$F$5:$F$204)),SUMPRODUCT((Накладные!$C$5:$C$204=A112)*(Накладные!$D$5:$D$204=B112)*(Накладные!$E$5:$E$204=Справочник!$B$5)*(Накладные!$G$5:$G$204="Приход")*(Накладные!$F$5:$F$204))-SUMPRODUCT((Накладные!$C$5:$C$204=A112)*(Накладные!$D$5:$D$204=B112)*(Накладные!$E$5:$E$204=Справочник!$B$5)*(Накладные!$G$5:$G$204="Расход")*(Накладные!$F$5:$F$204))))</f>
        <v/>
      </c>
      <c r="E112" s="8">
        <f>IF(A112="","",C112+D112)</f>
        <v/>
      </c>
    </row>
    <row r="113">
      <c r="A113" s="7">
        <f>IF(Справочник!A118="","",Справочник!A118)</f>
        <v/>
      </c>
      <c r="B113" s="7">
        <f>IF(Справочник!B118="","",Справочник!B118)</f>
        <v/>
      </c>
      <c r="C113" s="8">
        <f>IF(A113="","",IF(B113="",SUMPRODUCT((Накладные!$C$5:$C$204=A113)*(Накладные!$E$5:$E$204=Справочник!$B$4)*(Накладные!$G$5:$G$204="Приход")*(Накладные!$F$5:$F$204))-SUMPRODUCT((Накладные!$C$5:$C$204=A113)*(Накладные!$E$5:$E$204=Справочник!$B$4)*(Накладные!$G$5:$G$204="Расход")*(Накладные!$F$5:$F$204)),SUMPRODUCT((Накладные!$C$5:$C$204=A113)*(Накладные!$D$5:$D$204=B113)*(Накладные!$E$5:$E$204=Справочник!$B$4)*(Накладные!$G$5:$G$204="Приход")*(Накладные!$F$5:$F$204))-SUMPRODUCT((Накладные!$C$5:$C$204=A113)*(Накладные!$D$5:$D$204=B113)*(Накладные!$E$5:$E$204=Справочник!$B$4)*(Накладные!$G$5:$G$204="Расход")*(Накладные!$F$5:$F$204))))</f>
        <v/>
      </c>
      <c r="D113" s="8">
        <f>IF(A113="","",IF(B113="",SUMPRODUCT((Накладные!$C$5:$C$204=A113)*(Накладные!$E$5:$E$204=Справочник!$B$5)*(Накладные!$G$5:$G$204="Приход")*(Накладные!$F$5:$F$204))-SUMPRODUCT((Накладные!$C$5:$C$204=A113)*(Накладные!$E$5:$E$204=Справочник!$B$5)*(Накладные!$G$5:$G$204="Расход")*(Накладные!$F$5:$F$204)),SUMPRODUCT((Накладные!$C$5:$C$204=A113)*(Накладные!$D$5:$D$204=B113)*(Накладные!$E$5:$E$204=Справочник!$B$5)*(Накладные!$G$5:$G$204="Приход")*(Накладные!$F$5:$F$204))-SUMPRODUCT((Накладные!$C$5:$C$204=A113)*(Накладные!$D$5:$D$204=B113)*(Накладные!$E$5:$E$204=Справочник!$B$5)*(Накладные!$G$5:$G$204="Расход")*(Накладные!$F$5:$F$204))))</f>
        <v/>
      </c>
      <c r="E113" s="8">
        <f>IF(A113="","",C113+D113)</f>
        <v/>
      </c>
    </row>
    <row r="114">
      <c r="A114" s="7">
        <f>IF(Справочник!A119="","",Справочник!A119)</f>
        <v/>
      </c>
      <c r="B114" s="7">
        <f>IF(Справочник!B119="","",Справочник!B119)</f>
        <v/>
      </c>
      <c r="C114" s="8">
        <f>IF(A114="","",IF(B114="",SUMPRODUCT((Накладные!$C$5:$C$204=A114)*(Накладные!$E$5:$E$204=Справочник!$B$4)*(Накладные!$G$5:$G$204="Приход")*(Накладные!$F$5:$F$204))-SUMPRODUCT((Накладные!$C$5:$C$204=A114)*(Накладные!$E$5:$E$204=Справочник!$B$4)*(Накладные!$G$5:$G$204="Расход")*(Накладные!$F$5:$F$204)),SUMPRODUCT((Накладные!$C$5:$C$204=A114)*(Накладные!$D$5:$D$204=B114)*(Накладные!$E$5:$E$204=Справочник!$B$4)*(Накладные!$G$5:$G$204="Приход")*(Накладные!$F$5:$F$204))-SUMPRODUCT((Накладные!$C$5:$C$204=A114)*(Накладные!$D$5:$D$204=B114)*(Накладные!$E$5:$E$204=Справочник!$B$4)*(Накладные!$G$5:$G$204="Расход")*(Накладные!$F$5:$F$204))))</f>
        <v/>
      </c>
      <c r="D114" s="8">
        <f>IF(A114="","",IF(B114="",SUMPRODUCT((Накладные!$C$5:$C$204=A114)*(Накладные!$E$5:$E$204=Справочник!$B$5)*(Накладные!$G$5:$G$204="Приход")*(Накладные!$F$5:$F$204))-SUMPRODUCT((Накладные!$C$5:$C$204=A114)*(Накладные!$E$5:$E$204=Справочник!$B$5)*(Накладные!$G$5:$G$204="Расход")*(Накладные!$F$5:$F$204)),SUMPRODUCT((Накладные!$C$5:$C$204=A114)*(Накладные!$D$5:$D$204=B114)*(Накладные!$E$5:$E$204=Справочник!$B$5)*(Накладные!$G$5:$G$204="Приход")*(Накладные!$F$5:$F$204))-SUMPRODUCT((Накладные!$C$5:$C$204=A114)*(Накладные!$D$5:$D$204=B114)*(Накладные!$E$5:$E$204=Справочник!$B$5)*(Накладные!$G$5:$G$204="Расход")*(Накладные!$F$5:$F$204))))</f>
        <v/>
      </c>
      <c r="E114" s="8">
        <f>IF(A114="","",C114+D114)</f>
        <v/>
      </c>
    </row>
    <row r="115">
      <c r="A115" s="7">
        <f>IF(Справочник!A120="","",Справочник!A120)</f>
        <v/>
      </c>
      <c r="B115" s="7">
        <f>IF(Справочник!B120="","",Справочник!B120)</f>
        <v/>
      </c>
      <c r="C115" s="8">
        <f>IF(A115="","",IF(B115="",SUMPRODUCT((Накладные!$C$5:$C$204=A115)*(Накладные!$E$5:$E$204=Справочник!$B$4)*(Накладные!$G$5:$G$204="Приход")*(Накладные!$F$5:$F$204))-SUMPRODUCT((Накладные!$C$5:$C$204=A115)*(Накладные!$E$5:$E$204=Справочник!$B$4)*(Накладные!$G$5:$G$204="Расход")*(Накладные!$F$5:$F$204)),SUMPRODUCT((Накладные!$C$5:$C$204=A115)*(Накладные!$D$5:$D$204=B115)*(Накладные!$E$5:$E$204=Справочник!$B$4)*(Накладные!$G$5:$G$204="Приход")*(Накладные!$F$5:$F$204))-SUMPRODUCT((Накладные!$C$5:$C$204=A115)*(Накладные!$D$5:$D$204=B115)*(Накладные!$E$5:$E$204=Справочник!$B$4)*(Накладные!$G$5:$G$204="Расход")*(Накладные!$F$5:$F$204))))</f>
        <v/>
      </c>
      <c r="D115" s="8">
        <f>IF(A115="","",IF(B115="",SUMPRODUCT((Накладные!$C$5:$C$204=A115)*(Накладные!$E$5:$E$204=Справочник!$B$5)*(Накладные!$G$5:$G$204="Приход")*(Накладные!$F$5:$F$204))-SUMPRODUCT((Накладные!$C$5:$C$204=A115)*(Накладные!$E$5:$E$204=Справочник!$B$5)*(Накладные!$G$5:$G$204="Расход")*(Накладные!$F$5:$F$204)),SUMPRODUCT((Накладные!$C$5:$C$204=A115)*(Накладные!$D$5:$D$204=B115)*(Накладные!$E$5:$E$204=Справочник!$B$5)*(Накладные!$G$5:$G$204="Приход")*(Накладные!$F$5:$F$204))-SUMPRODUCT((Накладные!$C$5:$C$204=A115)*(Накладные!$D$5:$D$204=B115)*(Накладные!$E$5:$E$204=Справочник!$B$5)*(Накладные!$G$5:$G$204="Расход")*(Накладные!$F$5:$F$204))))</f>
        <v/>
      </c>
      <c r="E115" s="8">
        <f>IF(A115="","",C115+D115)</f>
        <v/>
      </c>
    </row>
    <row r="116">
      <c r="A116" s="7">
        <f>IF(Справочник!A121="","",Справочник!A121)</f>
        <v/>
      </c>
      <c r="B116" s="7">
        <f>IF(Справочник!B121="","",Справочник!B121)</f>
        <v/>
      </c>
      <c r="C116" s="8">
        <f>IF(A116="","",IF(B116="",SUMPRODUCT((Накладные!$C$5:$C$204=A116)*(Накладные!$E$5:$E$204=Справочник!$B$4)*(Накладные!$G$5:$G$204="Приход")*(Накладные!$F$5:$F$204))-SUMPRODUCT((Накладные!$C$5:$C$204=A116)*(Накладные!$E$5:$E$204=Справочник!$B$4)*(Накладные!$G$5:$G$204="Расход")*(Накладные!$F$5:$F$204)),SUMPRODUCT((Накладные!$C$5:$C$204=A116)*(Накладные!$D$5:$D$204=B116)*(Накладные!$E$5:$E$204=Справочник!$B$4)*(Накладные!$G$5:$G$204="Приход")*(Накладные!$F$5:$F$204))-SUMPRODUCT((Накладные!$C$5:$C$204=A116)*(Накладные!$D$5:$D$204=B116)*(Накладные!$E$5:$E$204=Справочник!$B$4)*(Накладные!$G$5:$G$204="Расход")*(Накладные!$F$5:$F$204))))</f>
        <v/>
      </c>
      <c r="D116" s="8">
        <f>IF(A116="","",IF(B116="",SUMPRODUCT((Накладные!$C$5:$C$204=A116)*(Накладные!$E$5:$E$204=Справочник!$B$5)*(Накладные!$G$5:$G$204="Приход")*(Накладные!$F$5:$F$204))-SUMPRODUCT((Накладные!$C$5:$C$204=A116)*(Накладные!$E$5:$E$204=Справочник!$B$5)*(Накладные!$G$5:$G$204="Расход")*(Накладные!$F$5:$F$204)),SUMPRODUCT((Накладные!$C$5:$C$204=A116)*(Накладные!$D$5:$D$204=B116)*(Накладные!$E$5:$E$204=Справочник!$B$5)*(Накладные!$G$5:$G$204="Приход")*(Накладные!$F$5:$F$204))-SUMPRODUCT((Накладные!$C$5:$C$204=A116)*(Накладные!$D$5:$D$204=B116)*(Накладные!$E$5:$E$204=Справочник!$B$5)*(Накладные!$G$5:$G$204="Расход")*(Накладные!$F$5:$F$204))))</f>
        <v/>
      </c>
      <c r="E116" s="8">
        <f>IF(A116="","",C116+D116)</f>
        <v/>
      </c>
    </row>
    <row r="117">
      <c r="A117" s="7">
        <f>IF(Справочник!A122="","",Справочник!A122)</f>
        <v/>
      </c>
      <c r="B117" s="7">
        <f>IF(Справочник!B122="","",Справочник!B122)</f>
        <v/>
      </c>
      <c r="C117" s="8">
        <f>IF(A117="","",IF(B117="",SUMPRODUCT((Накладные!$C$5:$C$204=A117)*(Накладные!$E$5:$E$204=Справочник!$B$4)*(Накладные!$G$5:$G$204="Приход")*(Накладные!$F$5:$F$204))-SUMPRODUCT((Накладные!$C$5:$C$204=A117)*(Накладные!$E$5:$E$204=Справочник!$B$4)*(Накладные!$G$5:$G$204="Расход")*(Накладные!$F$5:$F$204)),SUMPRODUCT((Накладные!$C$5:$C$204=A117)*(Накладные!$D$5:$D$204=B117)*(Накладные!$E$5:$E$204=Справочник!$B$4)*(Накладные!$G$5:$G$204="Приход")*(Накладные!$F$5:$F$204))-SUMPRODUCT((Накладные!$C$5:$C$204=A117)*(Накладные!$D$5:$D$204=B117)*(Накладные!$E$5:$E$204=Справочник!$B$4)*(Накладные!$G$5:$G$204="Расход")*(Накладные!$F$5:$F$204))))</f>
        <v/>
      </c>
      <c r="D117" s="8">
        <f>IF(A117="","",IF(B117="",SUMPRODUCT((Накладные!$C$5:$C$204=A117)*(Накладные!$E$5:$E$204=Справочник!$B$5)*(Накладные!$G$5:$G$204="Приход")*(Накладные!$F$5:$F$204))-SUMPRODUCT((Накладные!$C$5:$C$204=A117)*(Накладные!$E$5:$E$204=Справочник!$B$5)*(Накладные!$G$5:$G$204="Расход")*(Накладные!$F$5:$F$204)),SUMPRODUCT((Накладные!$C$5:$C$204=A117)*(Накладные!$D$5:$D$204=B117)*(Накладные!$E$5:$E$204=Справочник!$B$5)*(Накладные!$G$5:$G$204="Приход")*(Накладные!$F$5:$F$204))-SUMPRODUCT((Накладные!$C$5:$C$204=A117)*(Накладные!$D$5:$D$204=B117)*(Накладные!$E$5:$E$204=Справочник!$B$5)*(Накладные!$G$5:$G$204="Расход")*(Накладные!$F$5:$F$204))))</f>
        <v/>
      </c>
      <c r="E117" s="8">
        <f>IF(A117="","",C117+D117)</f>
        <v/>
      </c>
    </row>
    <row r="118">
      <c r="A118" s="7">
        <f>IF(Справочник!A123="","",Справочник!A123)</f>
        <v/>
      </c>
      <c r="B118" s="7">
        <f>IF(Справочник!B123="","",Справочник!B123)</f>
        <v/>
      </c>
      <c r="C118" s="8">
        <f>IF(A118="","",IF(B118="",SUMPRODUCT((Накладные!$C$5:$C$204=A118)*(Накладные!$E$5:$E$204=Справочник!$B$4)*(Накладные!$G$5:$G$204="Приход")*(Накладные!$F$5:$F$204))-SUMPRODUCT((Накладные!$C$5:$C$204=A118)*(Накладные!$E$5:$E$204=Справочник!$B$4)*(Накладные!$G$5:$G$204="Расход")*(Накладные!$F$5:$F$204)),SUMPRODUCT((Накладные!$C$5:$C$204=A118)*(Накладные!$D$5:$D$204=B118)*(Накладные!$E$5:$E$204=Справочник!$B$4)*(Накладные!$G$5:$G$204="Приход")*(Накладные!$F$5:$F$204))-SUMPRODUCT((Накладные!$C$5:$C$204=A118)*(Накладные!$D$5:$D$204=B118)*(Накладные!$E$5:$E$204=Справочник!$B$4)*(Накладные!$G$5:$G$204="Расход")*(Накладные!$F$5:$F$204))))</f>
        <v/>
      </c>
      <c r="D118" s="8">
        <f>IF(A118="","",IF(B118="",SUMPRODUCT((Накладные!$C$5:$C$204=A118)*(Накладные!$E$5:$E$204=Справочник!$B$5)*(Накладные!$G$5:$G$204="Приход")*(Накладные!$F$5:$F$204))-SUMPRODUCT((Накладные!$C$5:$C$204=A118)*(Накладные!$E$5:$E$204=Справочник!$B$5)*(Накладные!$G$5:$G$204="Расход")*(Накладные!$F$5:$F$204)),SUMPRODUCT((Накладные!$C$5:$C$204=A118)*(Накладные!$D$5:$D$204=B118)*(Накладные!$E$5:$E$204=Справочник!$B$5)*(Накладные!$G$5:$G$204="Приход")*(Накладные!$F$5:$F$204))-SUMPRODUCT((Накладные!$C$5:$C$204=A118)*(Накладные!$D$5:$D$204=B118)*(Накладные!$E$5:$E$204=Справочник!$B$5)*(Накладные!$G$5:$G$204="Расход")*(Накладные!$F$5:$F$204))))</f>
        <v/>
      </c>
      <c r="E118" s="8">
        <f>IF(A118="","",C118+D118)</f>
        <v/>
      </c>
    </row>
    <row r="119">
      <c r="A119" s="7">
        <f>IF(Справочник!A124="","",Справочник!A124)</f>
        <v/>
      </c>
      <c r="B119" s="7">
        <f>IF(Справочник!B124="","",Справочник!B124)</f>
        <v/>
      </c>
      <c r="C119" s="8">
        <f>IF(A119="","",IF(B119="",SUMPRODUCT((Накладные!$C$5:$C$204=A119)*(Накладные!$E$5:$E$204=Справочник!$B$4)*(Накладные!$G$5:$G$204="Приход")*(Накладные!$F$5:$F$204))-SUMPRODUCT((Накладные!$C$5:$C$204=A119)*(Накладные!$E$5:$E$204=Справочник!$B$4)*(Накладные!$G$5:$G$204="Расход")*(Накладные!$F$5:$F$204)),SUMPRODUCT((Накладные!$C$5:$C$204=A119)*(Накладные!$D$5:$D$204=B119)*(Накладные!$E$5:$E$204=Справочник!$B$4)*(Накладные!$G$5:$G$204="Приход")*(Накладные!$F$5:$F$204))-SUMPRODUCT((Накладные!$C$5:$C$204=A119)*(Накладные!$D$5:$D$204=B119)*(Накладные!$E$5:$E$204=Справочник!$B$4)*(Накладные!$G$5:$G$204="Расход")*(Накладные!$F$5:$F$204))))</f>
        <v/>
      </c>
      <c r="D119" s="8">
        <f>IF(A119="","",IF(B119="",SUMPRODUCT((Накладные!$C$5:$C$204=A119)*(Накладные!$E$5:$E$204=Справочник!$B$5)*(Накладные!$G$5:$G$204="Приход")*(Накладные!$F$5:$F$204))-SUMPRODUCT((Накладные!$C$5:$C$204=A119)*(Накладные!$E$5:$E$204=Справочник!$B$5)*(Накладные!$G$5:$G$204="Расход")*(Накладные!$F$5:$F$204)),SUMPRODUCT((Накладные!$C$5:$C$204=A119)*(Накладные!$D$5:$D$204=B119)*(Накладные!$E$5:$E$204=Справочник!$B$5)*(Накладные!$G$5:$G$204="Приход")*(Накладные!$F$5:$F$204))-SUMPRODUCT((Накладные!$C$5:$C$204=A119)*(Накладные!$D$5:$D$204=B119)*(Накладные!$E$5:$E$204=Справочник!$B$5)*(Накладные!$G$5:$G$204="Расход")*(Накладные!$F$5:$F$204))))</f>
        <v/>
      </c>
      <c r="E119" s="8">
        <f>IF(A119="","",C119+D119)</f>
        <v/>
      </c>
    </row>
    <row r="120">
      <c r="A120" s="7">
        <f>IF(Справочник!A125="","",Справочник!A125)</f>
        <v/>
      </c>
      <c r="B120" s="7">
        <f>IF(Справочник!B125="","",Справочник!B125)</f>
        <v/>
      </c>
      <c r="C120" s="8">
        <f>IF(A120="","",IF(B120="",SUMPRODUCT((Накладные!$C$5:$C$204=A120)*(Накладные!$E$5:$E$204=Справочник!$B$4)*(Накладные!$G$5:$G$204="Приход")*(Накладные!$F$5:$F$204))-SUMPRODUCT((Накладные!$C$5:$C$204=A120)*(Накладные!$E$5:$E$204=Справочник!$B$4)*(Накладные!$G$5:$G$204="Расход")*(Накладные!$F$5:$F$204)),SUMPRODUCT((Накладные!$C$5:$C$204=A120)*(Накладные!$D$5:$D$204=B120)*(Накладные!$E$5:$E$204=Справочник!$B$4)*(Накладные!$G$5:$G$204="Приход")*(Накладные!$F$5:$F$204))-SUMPRODUCT((Накладные!$C$5:$C$204=A120)*(Накладные!$D$5:$D$204=B120)*(Накладные!$E$5:$E$204=Справочник!$B$4)*(Накладные!$G$5:$G$204="Расход")*(Накладные!$F$5:$F$204))))</f>
        <v/>
      </c>
      <c r="D120" s="8">
        <f>IF(A120="","",IF(B120="",SUMPRODUCT((Накладные!$C$5:$C$204=A120)*(Накладные!$E$5:$E$204=Справочник!$B$5)*(Накладные!$G$5:$G$204="Приход")*(Накладные!$F$5:$F$204))-SUMPRODUCT((Накладные!$C$5:$C$204=A120)*(Накладные!$E$5:$E$204=Справочник!$B$5)*(Накладные!$G$5:$G$204="Расход")*(Накладные!$F$5:$F$204)),SUMPRODUCT((Накладные!$C$5:$C$204=A120)*(Накладные!$D$5:$D$204=B120)*(Накладные!$E$5:$E$204=Справочник!$B$5)*(Накладные!$G$5:$G$204="Приход")*(Накладные!$F$5:$F$204))-SUMPRODUCT((Накладные!$C$5:$C$204=A120)*(Накладные!$D$5:$D$204=B120)*(Накладные!$E$5:$E$204=Справочник!$B$5)*(Накладные!$G$5:$G$204="Расход")*(Накладные!$F$5:$F$204))))</f>
        <v/>
      </c>
      <c r="E120" s="8">
        <f>IF(A120="","",C120+D120)</f>
        <v/>
      </c>
    </row>
    <row r="121">
      <c r="A121" s="7">
        <f>IF(Справочник!A126="","",Справочник!A126)</f>
        <v/>
      </c>
      <c r="B121" s="7">
        <f>IF(Справочник!B126="","",Справочник!B126)</f>
        <v/>
      </c>
      <c r="C121" s="8">
        <f>IF(A121="","",IF(B121="",SUMPRODUCT((Накладные!$C$5:$C$204=A121)*(Накладные!$E$5:$E$204=Справочник!$B$4)*(Накладные!$G$5:$G$204="Приход")*(Накладные!$F$5:$F$204))-SUMPRODUCT((Накладные!$C$5:$C$204=A121)*(Накладные!$E$5:$E$204=Справочник!$B$4)*(Накладные!$G$5:$G$204="Расход")*(Накладные!$F$5:$F$204)),SUMPRODUCT((Накладные!$C$5:$C$204=A121)*(Накладные!$D$5:$D$204=B121)*(Накладные!$E$5:$E$204=Справочник!$B$4)*(Накладные!$G$5:$G$204="Приход")*(Накладные!$F$5:$F$204))-SUMPRODUCT((Накладные!$C$5:$C$204=A121)*(Накладные!$D$5:$D$204=B121)*(Накладные!$E$5:$E$204=Справочник!$B$4)*(Накладные!$G$5:$G$204="Расход")*(Накладные!$F$5:$F$204))))</f>
        <v/>
      </c>
      <c r="D121" s="8">
        <f>IF(A121="","",IF(B121="",SUMPRODUCT((Накладные!$C$5:$C$204=A121)*(Накладные!$E$5:$E$204=Справочник!$B$5)*(Накладные!$G$5:$G$204="Приход")*(Накладные!$F$5:$F$204))-SUMPRODUCT((Накладные!$C$5:$C$204=A121)*(Накладные!$E$5:$E$204=Справочник!$B$5)*(Накладные!$G$5:$G$204="Расход")*(Накладные!$F$5:$F$204)),SUMPRODUCT((Накладные!$C$5:$C$204=A121)*(Накладные!$D$5:$D$204=B121)*(Накладные!$E$5:$E$204=Справочник!$B$5)*(Накладные!$G$5:$G$204="Приход")*(Накладные!$F$5:$F$204))-SUMPRODUCT((Накладные!$C$5:$C$204=A121)*(Накладные!$D$5:$D$204=B121)*(Накладные!$E$5:$E$204=Справочник!$B$5)*(Накладные!$G$5:$G$204="Расход")*(Накладные!$F$5:$F$204))))</f>
        <v/>
      </c>
      <c r="E121" s="8">
        <f>IF(A121="","",C121+D121)</f>
        <v/>
      </c>
    </row>
    <row r="122">
      <c r="A122" s="7">
        <f>IF(Справочник!A127="","",Справочник!A127)</f>
        <v/>
      </c>
      <c r="B122" s="7">
        <f>IF(Справочник!B127="","",Справочник!B127)</f>
        <v/>
      </c>
      <c r="C122" s="8">
        <f>IF(A122="","",IF(B122="",SUMPRODUCT((Накладные!$C$5:$C$204=A122)*(Накладные!$E$5:$E$204=Справочник!$B$4)*(Накладные!$G$5:$G$204="Приход")*(Накладные!$F$5:$F$204))-SUMPRODUCT((Накладные!$C$5:$C$204=A122)*(Накладные!$E$5:$E$204=Справочник!$B$4)*(Накладные!$G$5:$G$204="Расход")*(Накладные!$F$5:$F$204)),SUMPRODUCT((Накладные!$C$5:$C$204=A122)*(Накладные!$D$5:$D$204=B122)*(Накладные!$E$5:$E$204=Справочник!$B$4)*(Накладные!$G$5:$G$204="Приход")*(Накладные!$F$5:$F$204))-SUMPRODUCT((Накладные!$C$5:$C$204=A122)*(Накладные!$D$5:$D$204=B122)*(Накладные!$E$5:$E$204=Справочник!$B$4)*(Накладные!$G$5:$G$204="Расход")*(Накладные!$F$5:$F$204))))</f>
        <v/>
      </c>
      <c r="D122" s="8">
        <f>IF(A122="","",IF(B122="",SUMPRODUCT((Накладные!$C$5:$C$204=A122)*(Накладные!$E$5:$E$204=Справочник!$B$5)*(Накладные!$G$5:$G$204="Приход")*(Накладные!$F$5:$F$204))-SUMPRODUCT((Накладные!$C$5:$C$204=A122)*(Накладные!$E$5:$E$204=Справочник!$B$5)*(Накладные!$G$5:$G$204="Расход")*(Накладные!$F$5:$F$204)),SUMPRODUCT((Накладные!$C$5:$C$204=A122)*(Накладные!$D$5:$D$204=B122)*(Накладные!$E$5:$E$204=Справочник!$B$5)*(Накладные!$G$5:$G$204="Приход")*(Накладные!$F$5:$F$204))-SUMPRODUCT((Накладные!$C$5:$C$204=A122)*(Накладные!$D$5:$D$204=B122)*(Накладные!$E$5:$E$204=Справочник!$B$5)*(Накладные!$G$5:$G$204="Расход")*(Накладные!$F$5:$F$204))))</f>
        <v/>
      </c>
      <c r="E122" s="8">
        <f>IF(A122="","",C122+D122)</f>
        <v/>
      </c>
    </row>
    <row r="123">
      <c r="A123" s="7">
        <f>IF(Справочник!A128="","",Справочник!A128)</f>
        <v/>
      </c>
      <c r="B123" s="7">
        <f>IF(Справочник!B128="","",Справочник!B128)</f>
        <v/>
      </c>
      <c r="C123" s="8">
        <f>IF(A123="","",IF(B123="",SUMPRODUCT((Накладные!$C$5:$C$204=A123)*(Накладные!$E$5:$E$204=Справочник!$B$4)*(Накладные!$G$5:$G$204="Приход")*(Накладные!$F$5:$F$204))-SUMPRODUCT((Накладные!$C$5:$C$204=A123)*(Накладные!$E$5:$E$204=Справочник!$B$4)*(Накладные!$G$5:$G$204="Расход")*(Накладные!$F$5:$F$204)),SUMPRODUCT((Накладные!$C$5:$C$204=A123)*(Накладные!$D$5:$D$204=B123)*(Накладные!$E$5:$E$204=Справочник!$B$4)*(Накладные!$G$5:$G$204="Приход")*(Накладные!$F$5:$F$204))-SUMPRODUCT((Накладные!$C$5:$C$204=A123)*(Накладные!$D$5:$D$204=B123)*(Накладные!$E$5:$E$204=Справочник!$B$4)*(Накладные!$G$5:$G$204="Расход")*(Накладные!$F$5:$F$204))))</f>
        <v/>
      </c>
      <c r="D123" s="8">
        <f>IF(A123="","",IF(B123="",SUMPRODUCT((Накладные!$C$5:$C$204=A123)*(Накладные!$E$5:$E$204=Справочник!$B$5)*(Накладные!$G$5:$G$204="Приход")*(Накладные!$F$5:$F$204))-SUMPRODUCT((Накладные!$C$5:$C$204=A123)*(Накладные!$E$5:$E$204=Справочник!$B$5)*(Накладные!$G$5:$G$204="Расход")*(Накладные!$F$5:$F$204)),SUMPRODUCT((Накладные!$C$5:$C$204=A123)*(Накладные!$D$5:$D$204=B123)*(Накладные!$E$5:$E$204=Справочник!$B$5)*(Накладные!$G$5:$G$204="Приход")*(Накладные!$F$5:$F$204))-SUMPRODUCT((Накладные!$C$5:$C$204=A123)*(Накладные!$D$5:$D$204=B123)*(Накладные!$E$5:$E$204=Справочник!$B$5)*(Накладные!$G$5:$G$204="Расход")*(Накладные!$F$5:$F$204))))</f>
        <v/>
      </c>
      <c r="E123" s="8">
        <f>IF(A123="","",C123+D123)</f>
        <v/>
      </c>
    </row>
    <row r="124">
      <c r="A124" s="7">
        <f>IF(Справочник!A129="","",Справочник!A129)</f>
        <v/>
      </c>
      <c r="B124" s="7">
        <f>IF(Справочник!B129="","",Справочник!B129)</f>
        <v/>
      </c>
      <c r="C124" s="8">
        <f>IF(A124="","",IF(B124="",SUMPRODUCT((Накладные!$C$5:$C$204=A124)*(Накладные!$E$5:$E$204=Справочник!$B$4)*(Накладные!$G$5:$G$204="Приход")*(Накладные!$F$5:$F$204))-SUMPRODUCT((Накладные!$C$5:$C$204=A124)*(Накладные!$E$5:$E$204=Справочник!$B$4)*(Накладные!$G$5:$G$204="Расход")*(Накладные!$F$5:$F$204)),SUMPRODUCT((Накладные!$C$5:$C$204=A124)*(Накладные!$D$5:$D$204=B124)*(Накладные!$E$5:$E$204=Справочник!$B$4)*(Накладные!$G$5:$G$204="Приход")*(Накладные!$F$5:$F$204))-SUMPRODUCT((Накладные!$C$5:$C$204=A124)*(Накладные!$D$5:$D$204=B124)*(Накладные!$E$5:$E$204=Справочник!$B$4)*(Накладные!$G$5:$G$204="Расход")*(Накладные!$F$5:$F$204))))</f>
        <v/>
      </c>
      <c r="D124" s="8">
        <f>IF(A124="","",IF(B124="",SUMPRODUCT((Накладные!$C$5:$C$204=A124)*(Накладные!$E$5:$E$204=Справочник!$B$5)*(Накладные!$G$5:$G$204="Приход")*(Накладные!$F$5:$F$204))-SUMPRODUCT((Накладные!$C$5:$C$204=A124)*(Накладные!$E$5:$E$204=Справочник!$B$5)*(Накладные!$G$5:$G$204="Расход")*(Накладные!$F$5:$F$204)),SUMPRODUCT((Накладные!$C$5:$C$204=A124)*(Накладные!$D$5:$D$204=B124)*(Накладные!$E$5:$E$204=Справочник!$B$5)*(Накладные!$G$5:$G$204="Приход")*(Накладные!$F$5:$F$204))-SUMPRODUCT((Накладные!$C$5:$C$204=A124)*(Накладные!$D$5:$D$204=B124)*(Накладные!$E$5:$E$204=Справочник!$B$5)*(Накладные!$G$5:$G$204="Расход")*(Накладные!$F$5:$F$204))))</f>
        <v/>
      </c>
      <c r="E124" s="8">
        <f>IF(A124="","",C124+D124)</f>
        <v/>
      </c>
    </row>
    <row r="125">
      <c r="A125" s="7">
        <f>IF(Справочник!A130="","",Справочник!A130)</f>
        <v/>
      </c>
      <c r="B125" s="7">
        <f>IF(Справочник!B130="","",Справочник!B130)</f>
        <v/>
      </c>
      <c r="C125" s="8">
        <f>IF(A125="","",IF(B125="",SUMPRODUCT((Накладные!$C$5:$C$204=A125)*(Накладные!$E$5:$E$204=Справочник!$B$4)*(Накладные!$G$5:$G$204="Приход")*(Накладные!$F$5:$F$204))-SUMPRODUCT((Накладные!$C$5:$C$204=A125)*(Накладные!$E$5:$E$204=Справочник!$B$4)*(Накладные!$G$5:$G$204="Расход")*(Накладные!$F$5:$F$204)),SUMPRODUCT((Накладные!$C$5:$C$204=A125)*(Накладные!$D$5:$D$204=B125)*(Накладные!$E$5:$E$204=Справочник!$B$4)*(Накладные!$G$5:$G$204="Приход")*(Накладные!$F$5:$F$204))-SUMPRODUCT((Накладные!$C$5:$C$204=A125)*(Накладные!$D$5:$D$204=B125)*(Накладные!$E$5:$E$204=Справочник!$B$4)*(Накладные!$G$5:$G$204="Расход")*(Накладные!$F$5:$F$204))))</f>
        <v/>
      </c>
      <c r="D125" s="8">
        <f>IF(A125="","",IF(B125="",SUMPRODUCT((Накладные!$C$5:$C$204=A125)*(Накладные!$E$5:$E$204=Справочник!$B$5)*(Накладные!$G$5:$G$204="Приход")*(Накладные!$F$5:$F$204))-SUMPRODUCT((Накладные!$C$5:$C$204=A125)*(Накладные!$E$5:$E$204=Справочник!$B$5)*(Накладные!$G$5:$G$204="Расход")*(Накладные!$F$5:$F$204)),SUMPRODUCT((Накладные!$C$5:$C$204=A125)*(Накладные!$D$5:$D$204=B125)*(Накладные!$E$5:$E$204=Справочник!$B$5)*(Накладные!$G$5:$G$204="Приход")*(Накладные!$F$5:$F$204))-SUMPRODUCT((Накладные!$C$5:$C$204=A125)*(Накладные!$D$5:$D$204=B125)*(Накладные!$E$5:$E$204=Справочник!$B$5)*(Накладные!$G$5:$G$204="Расход")*(Накладные!$F$5:$F$204))))</f>
        <v/>
      </c>
      <c r="E125" s="8">
        <f>IF(A125="","",C125+D125)</f>
        <v/>
      </c>
    </row>
    <row r="126">
      <c r="A126" s="7">
        <f>IF(Справочник!A131="","",Справочник!A131)</f>
        <v/>
      </c>
      <c r="B126" s="7">
        <f>IF(Справочник!B131="","",Справочник!B131)</f>
        <v/>
      </c>
      <c r="C126" s="8">
        <f>IF(A126="","",IF(B126="",SUMPRODUCT((Накладные!$C$5:$C$204=A126)*(Накладные!$E$5:$E$204=Справочник!$B$4)*(Накладные!$G$5:$G$204="Приход")*(Накладные!$F$5:$F$204))-SUMPRODUCT((Накладные!$C$5:$C$204=A126)*(Накладные!$E$5:$E$204=Справочник!$B$4)*(Накладные!$G$5:$G$204="Расход")*(Накладные!$F$5:$F$204)),SUMPRODUCT((Накладные!$C$5:$C$204=A126)*(Накладные!$D$5:$D$204=B126)*(Накладные!$E$5:$E$204=Справочник!$B$4)*(Накладные!$G$5:$G$204="Приход")*(Накладные!$F$5:$F$204))-SUMPRODUCT((Накладные!$C$5:$C$204=A126)*(Накладные!$D$5:$D$204=B126)*(Накладные!$E$5:$E$204=Справочник!$B$4)*(Накладные!$G$5:$G$204="Расход")*(Накладные!$F$5:$F$204))))</f>
        <v/>
      </c>
      <c r="D126" s="8">
        <f>IF(A126="","",IF(B126="",SUMPRODUCT((Накладные!$C$5:$C$204=A126)*(Накладные!$E$5:$E$204=Справочник!$B$5)*(Накладные!$G$5:$G$204="Приход")*(Накладные!$F$5:$F$204))-SUMPRODUCT((Накладные!$C$5:$C$204=A126)*(Накладные!$E$5:$E$204=Справочник!$B$5)*(Накладные!$G$5:$G$204="Расход")*(Накладные!$F$5:$F$204)),SUMPRODUCT((Накладные!$C$5:$C$204=A126)*(Накладные!$D$5:$D$204=B126)*(Накладные!$E$5:$E$204=Справочник!$B$5)*(Накладные!$G$5:$G$204="Приход")*(Накладные!$F$5:$F$204))-SUMPRODUCT((Накладные!$C$5:$C$204=A126)*(Накладные!$D$5:$D$204=B126)*(Накладные!$E$5:$E$204=Справочник!$B$5)*(Накладные!$G$5:$G$204="Расход")*(Накладные!$F$5:$F$204))))</f>
        <v/>
      </c>
      <c r="E126" s="8">
        <f>IF(A126="","",C126+D126)</f>
        <v/>
      </c>
    </row>
    <row r="127">
      <c r="A127" s="7">
        <f>IF(Справочник!A132="","",Справочник!A132)</f>
        <v/>
      </c>
      <c r="B127" s="7">
        <f>IF(Справочник!B132="","",Справочник!B132)</f>
        <v/>
      </c>
      <c r="C127" s="8">
        <f>IF(A127="","",IF(B127="",SUMPRODUCT((Накладные!$C$5:$C$204=A127)*(Накладные!$E$5:$E$204=Справочник!$B$4)*(Накладные!$G$5:$G$204="Приход")*(Накладные!$F$5:$F$204))-SUMPRODUCT((Накладные!$C$5:$C$204=A127)*(Накладные!$E$5:$E$204=Справочник!$B$4)*(Накладные!$G$5:$G$204="Расход")*(Накладные!$F$5:$F$204)),SUMPRODUCT((Накладные!$C$5:$C$204=A127)*(Накладные!$D$5:$D$204=B127)*(Накладные!$E$5:$E$204=Справочник!$B$4)*(Накладные!$G$5:$G$204="Приход")*(Накладные!$F$5:$F$204))-SUMPRODUCT((Накладные!$C$5:$C$204=A127)*(Накладные!$D$5:$D$204=B127)*(Накладные!$E$5:$E$204=Справочник!$B$4)*(Накладные!$G$5:$G$204="Расход")*(Накладные!$F$5:$F$204))))</f>
        <v/>
      </c>
      <c r="D127" s="8">
        <f>IF(A127="","",IF(B127="",SUMPRODUCT((Накладные!$C$5:$C$204=A127)*(Накладные!$E$5:$E$204=Справочник!$B$5)*(Накладные!$G$5:$G$204="Приход")*(Накладные!$F$5:$F$204))-SUMPRODUCT((Накладные!$C$5:$C$204=A127)*(Накладные!$E$5:$E$204=Справочник!$B$5)*(Накладные!$G$5:$G$204="Расход")*(Накладные!$F$5:$F$204)),SUMPRODUCT((Накладные!$C$5:$C$204=A127)*(Накладные!$D$5:$D$204=B127)*(Накладные!$E$5:$E$204=Справочник!$B$5)*(Накладные!$G$5:$G$204="Приход")*(Накладные!$F$5:$F$204))-SUMPRODUCT((Накладные!$C$5:$C$204=A127)*(Накладные!$D$5:$D$204=B127)*(Накладные!$E$5:$E$204=Справочник!$B$5)*(Накладные!$G$5:$G$204="Расход")*(Накладные!$F$5:$F$204))))</f>
        <v/>
      </c>
      <c r="E127" s="8">
        <f>IF(A127="","",C127+D127)</f>
        <v/>
      </c>
    </row>
    <row r="128">
      <c r="A128" s="7">
        <f>IF(Справочник!A133="","",Справочник!A133)</f>
        <v/>
      </c>
      <c r="B128" s="7">
        <f>IF(Справочник!B133="","",Справочник!B133)</f>
        <v/>
      </c>
      <c r="C128" s="8">
        <f>IF(A128="","",IF(B128="",SUMPRODUCT((Накладные!$C$5:$C$204=A128)*(Накладные!$E$5:$E$204=Справочник!$B$4)*(Накладные!$G$5:$G$204="Приход")*(Накладные!$F$5:$F$204))-SUMPRODUCT((Накладные!$C$5:$C$204=A128)*(Накладные!$E$5:$E$204=Справочник!$B$4)*(Накладные!$G$5:$G$204="Расход")*(Накладные!$F$5:$F$204)),SUMPRODUCT((Накладные!$C$5:$C$204=A128)*(Накладные!$D$5:$D$204=B128)*(Накладные!$E$5:$E$204=Справочник!$B$4)*(Накладные!$G$5:$G$204="Приход")*(Накладные!$F$5:$F$204))-SUMPRODUCT((Накладные!$C$5:$C$204=A128)*(Накладные!$D$5:$D$204=B128)*(Накладные!$E$5:$E$204=Справочник!$B$4)*(Накладные!$G$5:$G$204="Расход")*(Накладные!$F$5:$F$204))))</f>
        <v/>
      </c>
      <c r="D128" s="8">
        <f>IF(A128="","",IF(B128="",SUMPRODUCT((Накладные!$C$5:$C$204=A128)*(Накладные!$E$5:$E$204=Справочник!$B$5)*(Накладные!$G$5:$G$204="Приход")*(Накладные!$F$5:$F$204))-SUMPRODUCT((Накладные!$C$5:$C$204=A128)*(Накладные!$E$5:$E$204=Справочник!$B$5)*(Накладные!$G$5:$G$204="Расход")*(Накладные!$F$5:$F$204)),SUMPRODUCT((Накладные!$C$5:$C$204=A128)*(Накладные!$D$5:$D$204=B128)*(Накладные!$E$5:$E$204=Справочник!$B$5)*(Накладные!$G$5:$G$204="Приход")*(Накладные!$F$5:$F$204))-SUMPRODUCT((Накладные!$C$5:$C$204=A128)*(Накладные!$D$5:$D$204=B128)*(Накладные!$E$5:$E$204=Справочник!$B$5)*(Накладные!$G$5:$G$204="Расход")*(Накладные!$F$5:$F$204))))</f>
        <v/>
      </c>
      <c r="E128" s="8">
        <f>IF(A128="","",C128+D128)</f>
        <v/>
      </c>
    </row>
    <row r="129">
      <c r="A129" s="7">
        <f>IF(Справочник!A134="","",Справочник!A134)</f>
        <v/>
      </c>
      <c r="B129" s="7">
        <f>IF(Справочник!B134="","",Справочник!B134)</f>
        <v/>
      </c>
      <c r="C129" s="8">
        <f>IF(A129="","",IF(B129="",SUMPRODUCT((Накладные!$C$5:$C$204=A129)*(Накладные!$E$5:$E$204=Справочник!$B$4)*(Накладные!$G$5:$G$204="Приход")*(Накладные!$F$5:$F$204))-SUMPRODUCT((Накладные!$C$5:$C$204=A129)*(Накладные!$E$5:$E$204=Справочник!$B$4)*(Накладные!$G$5:$G$204="Расход")*(Накладные!$F$5:$F$204)),SUMPRODUCT((Накладные!$C$5:$C$204=A129)*(Накладные!$D$5:$D$204=B129)*(Накладные!$E$5:$E$204=Справочник!$B$4)*(Накладные!$G$5:$G$204="Приход")*(Накладные!$F$5:$F$204))-SUMPRODUCT((Накладные!$C$5:$C$204=A129)*(Накладные!$D$5:$D$204=B129)*(Накладные!$E$5:$E$204=Справочник!$B$4)*(Накладные!$G$5:$G$204="Расход")*(Накладные!$F$5:$F$204))))</f>
        <v/>
      </c>
      <c r="D129" s="8">
        <f>IF(A129="","",IF(B129="",SUMPRODUCT((Накладные!$C$5:$C$204=A129)*(Накладные!$E$5:$E$204=Справочник!$B$5)*(Накладные!$G$5:$G$204="Приход")*(Накладные!$F$5:$F$204))-SUMPRODUCT((Накладные!$C$5:$C$204=A129)*(Накладные!$E$5:$E$204=Справочник!$B$5)*(Накладные!$G$5:$G$204="Расход")*(Накладные!$F$5:$F$204)),SUMPRODUCT((Накладные!$C$5:$C$204=A129)*(Накладные!$D$5:$D$204=B129)*(Накладные!$E$5:$E$204=Справочник!$B$5)*(Накладные!$G$5:$G$204="Приход")*(Накладные!$F$5:$F$204))-SUMPRODUCT((Накладные!$C$5:$C$204=A129)*(Накладные!$D$5:$D$204=B129)*(Накладные!$E$5:$E$204=Справочник!$B$5)*(Накладные!$G$5:$G$204="Расход")*(Накладные!$F$5:$F$204))))</f>
        <v/>
      </c>
      <c r="E129" s="8">
        <f>IF(A129="","",C129+D129)</f>
        <v/>
      </c>
    </row>
    <row r="130">
      <c r="A130" s="7">
        <f>IF(Справочник!A135="","",Справочник!A135)</f>
        <v/>
      </c>
      <c r="B130" s="7">
        <f>IF(Справочник!B135="","",Справочник!B135)</f>
        <v/>
      </c>
      <c r="C130" s="8">
        <f>IF(A130="","",IF(B130="",SUMPRODUCT((Накладные!$C$5:$C$204=A130)*(Накладные!$E$5:$E$204=Справочник!$B$4)*(Накладные!$G$5:$G$204="Приход")*(Накладные!$F$5:$F$204))-SUMPRODUCT((Накладные!$C$5:$C$204=A130)*(Накладные!$E$5:$E$204=Справочник!$B$4)*(Накладные!$G$5:$G$204="Расход")*(Накладные!$F$5:$F$204)),SUMPRODUCT((Накладные!$C$5:$C$204=A130)*(Накладные!$D$5:$D$204=B130)*(Накладные!$E$5:$E$204=Справочник!$B$4)*(Накладные!$G$5:$G$204="Приход")*(Накладные!$F$5:$F$204))-SUMPRODUCT((Накладные!$C$5:$C$204=A130)*(Накладные!$D$5:$D$204=B130)*(Накладные!$E$5:$E$204=Справочник!$B$4)*(Накладные!$G$5:$G$204="Расход")*(Накладные!$F$5:$F$204))))</f>
        <v/>
      </c>
      <c r="D130" s="8">
        <f>IF(A130="","",IF(B130="",SUMPRODUCT((Накладные!$C$5:$C$204=A130)*(Накладные!$E$5:$E$204=Справочник!$B$5)*(Накладные!$G$5:$G$204="Приход")*(Накладные!$F$5:$F$204))-SUMPRODUCT((Накладные!$C$5:$C$204=A130)*(Накладные!$E$5:$E$204=Справочник!$B$5)*(Накладные!$G$5:$G$204="Расход")*(Накладные!$F$5:$F$204)),SUMPRODUCT((Накладные!$C$5:$C$204=A130)*(Накладные!$D$5:$D$204=B130)*(Накладные!$E$5:$E$204=Справочник!$B$5)*(Накладные!$G$5:$G$204="Приход")*(Накладные!$F$5:$F$204))-SUMPRODUCT((Накладные!$C$5:$C$204=A130)*(Накладные!$D$5:$D$204=B130)*(Накладные!$E$5:$E$204=Справочник!$B$5)*(Накладные!$G$5:$G$204="Расход")*(Накладные!$F$5:$F$204))))</f>
        <v/>
      </c>
      <c r="E130" s="8">
        <f>IF(A130="","",C130+D130)</f>
        <v/>
      </c>
    </row>
    <row r="131">
      <c r="A131" s="7">
        <f>IF(Справочник!A136="","",Справочник!A136)</f>
        <v/>
      </c>
      <c r="B131" s="7">
        <f>IF(Справочник!B136="","",Справочник!B136)</f>
        <v/>
      </c>
      <c r="C131" s="8">
        <f>IF(A131="","",IF(B131="",SUMPRODUCT((Накладные!$C$5:$C$204=A131)*(Накладные!$E$5:$E$204=Справочник!$B$4)*(Накладные!$G$5:$G$204="Приход")*(Накладные!$F$5:$F$204))-SUMPRODUCT((Накладные!$C$5:$C$204=A131)*(Накладные!$E$5:$E$204=Справочник!$B$4)*(Накладные!$G$5:$G$204="Расход")*(Накладные!$F$5:$F$204)),SUMPRODUCT((Накладные!$C$5:$C$204=A131)*(Накладные!$D$5:$D$204=B131)*(Накладные!$E$5:$E$204=Справочник!$B$4)*(Накладные!$G$5:$G$204="Приход")*(Накладные!$F$5:$F$204))-SUMPRODUCT((Накладные!$C$5:$C$204=A131)*(Накладные!$D$5:$D$204=B131)*(Накладные!$E$5:$E$204=Справочник!$B$4)*(Накладные!$G$5:$G$204="Расход")*(Накладные!$F$5:$F$204))))</f>
        <v/>
      </c>
      <c r="D131" s="8">
        <f>IF(A131="","",IF(B131="",SUMPRODUCT((Накладные!$C$5:$C$204=A131)*(Накладные!$E$5:$E$204=Справочник!$B$5)*(Накладные!$G$5:$G$204="Приход")*(Накладные!$F$5:$F$204))-SUMPRODUCT((Накладные!$C$5:$C$204=A131)*(Накладные!$E$5:$E$204=Справочник!$B$5)*(Накладные!$G$5:$G$204="Расход")*(Накладные!$F$5:$F$204)),SUMPRODUCT((Накладные!$C$5:$C$204=A131)*(Накладные!$D$5:$D$204=B131)*(Накладные!$E$5:$E$204=Справочник!$B$5)*(Накладные!$G$5:$G$204="Приход")*(Накладные!$F$5:$F$204))-SUMPRODUCT((Накладные!$C$5:$C$204=A131)*(Накладные!$D$5:$D$204=B131)*(Накладные!$E$5:$E$204=Справочник!$B$5)*(Накладные!$G$5:$G$204="Расход")*(Накладные!$F$5:$F$204))))</f>
        <v/>
      </c>
      <c r="E131" s="8">
        <f>IF(A131="","",C131+D131)</f>
        <v/>
      </c>
    </row>
    <row r="132">
      <c r="A132" s="7">
        <f>IF(Справочник!A137="","",Справочник!A137)</f>
        <v/>
      </c>
      <c r="B132" s="7">
        <f>IF(Справочник!B137="","",Справочник!B137)</f>
        <v/>
      </c>
      <c r="C132" s="8">
        <f>IF(A132="","",IF(B132="",SUMPRODUCT((Накладные!$C$5:$C$204=A132)*(Накладные!$E$5:$E$204=Справочник!$B$4)*(Накладные!$G$5:$G$204="Приход")*(Накладные!$F$5:$F$204))-SUMPRODUCT((Накладные!$C$5:$C$204=A132)*(Накладные!$E$5:$E$204=Справочник!$B$4)*(Накладные!$G$5:$G$204="Расход")*(Накладные!$F$5:$F$204)),SUMPRODUCT((Накладные!$C$5:$C$204=A132)*(Накладные!$D$5:$D$204=B132)*(Накладные!$E$5:$E$204=Справочник!$B$4)*(Накладные!$G$5:$G$204="Приход")*(Накладные!$F$5:$F$204))-SUMPRODUCT((Накладные!$C$5:$C$204=A132)*(Накладные!$D$5:$D$204=B132)*(Накладные!$E$5:$E$204=Справочник!$B$4)*(Накладные!$G$5:$G$204="Расход")*(Накладные!$F$5:$F$204))))</f>
        <v/>
      </c>
      <c r="D132" s="8">
        <f>IF(A132="","",IF(B132="",SUMPRODUCT((Накладные!$C$5:$C$204=A132)*(Накладные!$E$5:$E$204=Справочник!$B$5)*(Накладные!$G$5:$G$204="Приход")*(Накладные!$F$5:$F$204))-SUMPRODUCT((Накладные!$C$5:$C$204=A132)*(Накладные!$E$5:$E$204=Справочник!$B$5)*(Накладные!$G$5:$G$204="Расход")*(Накладные!$F$5:$F$204)),SUMPRODUCT((Накладные!$C$5:$C$204=A132)*(Накладные!$D$5:$D$204=B132)*(Накладные!$E$5:$E$204=Справочник!$B$5)*(Накладные!$G$5:$G$204="Приход")*(Накладные!$F$5:$F$204))-SUMPRODUCT((Накладные!$C$5:$C$204=A132)*(Накладные!$D$5:$D$204=B132)*(Накладные!$E$5:$E$204=Справочник!$B$5)*(Накладные!$G$5:$G$204="Расход")*(Накладные!$F$5:$F$204))))</f>
        <v/>
      </c>
      <c r="E132" s="8">
        <f>IF(A132="","",C132+D132)</f>
        <v/>
      </c>
    </row>
    <row r="133">
      <c r="A133" s="7">
        <f>IF(Справочник!A138="","",Справочник!A138)</f>
        <v/>
      </c>
      <c r="B133" s="7">
        <f>IF(Справочник!B138="","",Справочник!B138)</f>
        <v/>
      </c>
      <c r="C133" s="8">
        <f>IF(A133="","",IF(B133="",SUMPRODUCT((Накладные!$C$5:$C$204=A133)*(Накладные!$E$5:$E$204=Справочник!$B$4)*(Накладные!$G$5:$G$204="Приход")*(Накладные!$F$5:$F$204))-SUMPRODUCT((Накладные!$C$5:$C$204=A133)*(Накладные!$E$5:$E$204=Справочник!$B$4)*(Накладные!$G$5:$G$204="Расход")*(Накладные!$F$5:$F$204)),SUMPRODUCT((Накладные!$C$5:$C$204=A133)*(Накладные!$D$5:$D$204=B133)*(Накладные!$E$5:$E$204=Справочник!$B$4)*(Накладные!$G$5:$G$204="Приход")*(Накладные!$F$5:$F$204))-SUMPRODUCT((Накладные!$C$5:$C$204=A133)*(Накладные!$D$5:$D$204=B133)*(Накладные!$E$5:$E$204=Справочник!$B$4)*(Накладные!$G$5:$G$204="Расход")*(Накладные!$F$5:$F$204))))</f>
        <v/>
      </c>
      <c r="D133" s="8">
        <f>IF(A133="","",IF(B133="",SUMPRODUCT((Накладные!$C$5:$C$204=A133)*(Накладные!$E$5:$E$204=Справочник!$B$5)*(Накладные!$G$5:$G$204="Приход")*(Накладные!$F$5:$F$204))-SUMPRODUCT((Накладные!$C$5:$C$204=A133)*(Накладные!$E$5:$E$204=Справочник!$B$5)*(Накладные!$G$5:$G$204="Расход")*(Накладные!$F$5:$F$204)),SUMPRODUCT((Накладные!$C$5:$C$204=A133)*(Накладные!$D$5:$D$204=B133)*(Накладные!$E$5:$E$204=Справочник!$B$5)*(Накладные!$G$5:$G$204="Приход")*(Накладные!$F$5:$F$204))-SUMPRODUCT((Накладные!$C$5:$C$204=A133)*(Накладные!$D$5:$D$204=B133)*(Накладные!$E$5:$E$204=Справочник!$B$5)*(Накладные!$G$5:$G$204="Расход")*(Накладные!$F$5:$F$204))))</f>
        <v/>
      </c>
      <c r="E133" s="8">
        <f>IF(A133="","",C133+D133)</f>
        <v/>
      </c>
    </row>
    <row r="134">
      <c r="A134" s="7">
        <f>IF(Справочник!A139="","",Справочник!A139)</f>
        <v/>
      </c>
      <c r="B134" s="7">
        <f>IF(Справочник!B139="","",Справочник!B139)</f>
        <v/>
      </c>
      <c r="C134" s="8">
        <f>IF(A134="","",IF(B134="",SUMPRODUCT((Накладные!$C$5:$C$204=A134)*(Накладные!$E$5:$E$204=Справочник!$B$4)*(Накладные!$G$5:$G$204="Приход")*(Накладные!$F$5:$F$204))-SUMPRODUCT((Накладные!$C$5:$C$204=A134)*(Накладные!$E$5:$E$204=Справочник!$B$4)*(Накладные!$G$5:$G$204="Расход")*(Накладные!$F$5:$F$204)),SUMPRODUCT((Накладные!$C$5:$C$204=A134)*(Накладные!$D$5:$D$204=B134)*(Накладные!$E$5:$E$204=Справочник!$B$4)*(Накладные!$G$5:$G$204="Приход")*(Накладные!$F$5:$F$204))-SUMPRODUCT((Накладные!$C$5:$C$204=A134)*(Накладные!$D$5:$D$204=B134)*(Накладные!$E$5:$E$204=Справочник!$B$4)*(Накладные!$G$5:$G$204="Расход")*(Накладные!$F$5:$F$204))))</f>
        <v/>
      </c>
      <c r="D134" s="8">
        <f>IF(A134="","",IF(B134="",SUMPRODUCT((Накладные!$C$5:$C$204=A134)*(Накладные!$E$5:$E$204=Справочник!$B$5)*(Накладные!$G$5:$G$204="Приход")*(Накладные!$F$5:$F$204))-SUMPRODUCT((Накладные!$C$5:$C$204=A134)*(Накладные!$E$5:$E$204=Справочник!$B$5)*(Накладные!$G$5:$G$204="Расход")*(Накладные!$F$5:$F$204)),SUMPRODUCT((Накладные!$C$5:$C$204=A134)*(Накладные!$D$5:$D$204=B134)*(Накладные!$E$5:$E$204=Справочник!$B$5)*(Накладные!$G$5:$G$204="Приход")*(Накладные!$F$5:$F$204))-SUMPRODUCT((Накладные!$C$5:$C$204=A134)*(Накладные!$D$5:$D$204=B134)*(Накладные!$E$5:$E$204=Справочник!$B$5)*(Накладные!$G$5:$G$204="Расход")*(Накладные!$F$5:$F$204))))</f>
        <v/>
      </c>
      <c r="E134" s="8">
        <f>IF(A134="","",C134+D134)</f>
        <v/>
      </c>
    </row>
    <row r="135">
      <c r="A135" s="7">
        <f>IF(Справочник!A140="","",Справочник!A140)</f>
        <v/>
      </c>
      <c r="B135" s="7">
        <f>IF(Справочник!B140="","",Справочник!B140)</f>
        <v/>
      </c>
      <c r="C135" s="8">
        <f>IF(A135="","",IF(B135="",SUMPRODUCT((Накладные!$C$5:$C$204=A135)*(Накладные!$E$5:$E$204=Справочник!$B$4)*(Накладные!$G$5:$G$204="Приход")*(Накладные!$F$5:$F$204))-SUMPRODUCT((Накладные!$C$5:$C$204=A135)*(Накладные!$E$5:$E$204=Справочник!$B$4)*(Накладные!$G$5:$G$204="Расход")*(Накладные!$F$5:$F$204)),SUMPRODUCT((Накладные!$C$5:$C$204=A135)*(Накладные!$D$5:$D$204=B135)*(Накладные!$E$5:$E$204=Справочник!$B$4)*(Накладные!$G$5:$G$204="Приход")*(Накладные!$F$5:$F$204))-SUMPRODUCT((Накладные!$C$5:$C$204=A135)*(Накладные!$D$5:$D$204=B135)*(Накладные!$E$5:$E$204=Справочник!$B$4)*(Накладные!$G$5:$G$204="Расход")*(Накладные!$F$5:$F$204))))</f>
        <v/>
      </c>
      <c r="D135" s="8">
        <f>IF(A135="","",IF(B135="",SUMPRODUCT((Накладные!$C$5:$C$204=A135)*(Накладные!$E$5:$E$204=Справочник!$B$5)*(Накладные!$G$5:$G$204="Приход")*(Накладные!$F$5:$F$204))-SUMPRODUCT((Накладные!$C$5:$C$204=A135)*(Накладные!$E$5:$E$204=Справочник!$B$5)*(Накладные!$G$5:$G$204="Расход")*(Накладные!$F$5:$F$204)),SUMPRODUCT((Накладные!$C$5:$C$204=A135)*(Накладные!$D$5:$D$204=B135)*(Накладные!$E$5:$E$204=Справочник!$B$5)*(Накладные!$G$5:$G$204="Приход")*(Накладные!$F$5:$F$204))-SUMPRODUCT((Накладные!$C$5:$C$204=A135)*(Накладные!$D$5:$D$204=B135)*(Накладные!$E$5:$E$204=Справочник!$B$5)*(Накладные!$G$5:$G$204="Расход")*(Накладные!$F$5:$F$204))))</f>
        <v/>
      </c>
      <c r="E135" s="8">
        <f>IF(A135="","",C135+D135)</f>
        <v/>
      </c>
    </row>
    <row r="136">
      <c r="A136" s="7">
        <f>IF(Справочник!A141="","",Справочник!A141)</f>
        <v/>
      </c>
      <c r="B136" s="7">
        <f>IF(Справочник!B141="","",Справочник!B141)</f>
        <v/>
      </c>
      <c r="C136" s="8">
        <f>IF(A136="","",IF(B136="",SUMPRODUCT((Накладные!$C$5:$C$204=A136)*(Накладные!$E$5:$E$204=Справочник!$B$4)*(Накладные!$G$5:$G$204="Приход")*(Накладные!$F$5:$F$204))-SUMPRODUCT((Накладные!$C$5:$C$204=A136)*(Накладные!$E$5:$E$204=Справочник!$B$4)*(Накладные!$G$5:$G$204="Расход")*(Накладные!$F$5:$F$204)),SUMPRODUCT((Накладные!$C$5:$C$204=A136)*(Накладные!$D$5:$D$204=B136)*(Накладные!$E$5:$E$204=Справочник!$B$4)*(Накладные!$G$5:$G$204="Приход")*(Накладные!$F$5:$F$204))-SUMPRODUCT((Накладные!$C$5:$C$204=A136)*(Накладные!$D$5:$D$204=B136)*(Накладные!$E$5:$E$204=Справочник!$B$4)*(Накладные!$G$5:$G$204="Расход")*(Накладные!$F$5:$F$204))))</f>
        <v/>
      </c>
      <c r="D136" s="8">
        <f>IF(A136="","",IF(B136="",SUMPRODUCT((Накладные!$C$5:$C$204=A136)*(Накладные!$E$5:$E$204=Справочник!$B$5)*(Накладные!$G$5:$G$204="Приход")*(Накладные!$F$5:$F$204))-SUMPRODUCT((Накладные!$C$5:$C$204=A136)*(Накладные!$E$5:$E$204=Справочник!$B$5)*(Накладные!$G$5:$G$204="Расход")*(Накладные!$F$5:$F$204)),SUMPRODUCT((Накладные!$C$5:$C$204=A136)*(Накладные!$D$5:$D$204=B136)*(Накладные!$E$5:$E$204=Справочник!$B$5)*(Накладные!$G$5:$G$204="Приход")*(Накладные!$F$5:$F$204))-SUMPRODUCT((Накладные!$C$5:$C$204=A136)*(Накладные!$D$5:$D$204=B136)*(Накладные!$E$5:$E$204=Справочник!$B$5)*(Накладные!$G$5:$G$204="Расход")*(Накладные!$F$5:$F$204))))</f>
        <v/>
      </c>
      <c r="E136" s="8">
        <f>IF(A136="","",C136+D136)</f>
        <v/>
      </c>
    </row>
    <row r="137">
      <c r="A137" s="7">
        <f>IF(Справочник!A142="","",Справочник!A142)</f>
        <v/>
      </c>
      <c r="B137" s="7">
        <f>IF(Справочник!B142="","",Справочник!B142)</f>
        <v/>
      </c>
      <c r="C137" s="8">
        <f>IF(A137="","",IF(B137="",SUMPRODUCT((Накладные!$C$5:$C$204=A137)*(Накладные!$E$5:$E$204=Справочник!$B$4)*(Накладные!$G$5:$G$204="Приход")*(Накладные!$F$5:$F$204))-SUMPRODUCT((Накладные!$C$5:$C$204=A137)*(Накладные!$E$5:$E$204=Справочник!$B$4)*(Накладные!$G$5:$G$204="Расход")*(Накладные!$F$5:$F$204)),SUMPRODUCT((Накладные!$C$5:$C$204=A137)*(Накладные!$D$5:$D$204=B137)*(Накладные!$E$5:$E$204=Справочник!$B$4)*(Накладные!$G$5:$G$204="Приход")*(Накладные!$F$5:$F$204))-SUMPRODUCT((Накладные!$C$5:$C$204=A137)*(Накладные!$D$5:$D$204=B137)*(Накладные!$E$5:$E$204=Справочник!$B$4)*(Накладные!$G$5:$G$204="Расход")*(Накладные!$F$5:$F$204))))</f>
        <v/>
      </c>
      <c r="D137" s="8">
        <f>IF(A137="","",IF(B137="",SUMPRODUCT((Накладные!$C$5:$C$204=A137)*(Накладные!$E$5:$E$204=Справочник!$B$5)*(Накладные!$G$5:$G$204="Приход")*(Накладные!$F$5:$F$204))-SUMPRODUCT((Накладные!$C$5:$C$204=A137)*(Накладные!$E$5:$E$204=Справочник!$B$5)*(Накладные!$G$5:$G$204="Расход")*(Накладные!$F$5:$F$204)),SUMPRODUCT((Накладные!$C$5:$C$204=A137)*(Накладные!$D$5:$D$204=B137)*(Накладные!$E$5:$E$204=Справочник!$B$5)*(Накладные!$G$5:$G$204="Приход")*(Накладные!$F$5:$F$204))-SUMPRODUCT((Накладные!$C$5:$C$204=A137)*(Накладные!$D$5:$D$204=B137)*(Накладные!$E$5:$E$204=Справочник!$B$5)*(Накладные!$G$5:$G$204="Расход")*(Накладные!$F$5:$F$204))))</f>
        <v/>
      </c>
      <c r="E137" s="8">
        <f>IF(A137="","",C137+D137)</f>
        <v/>
      </c>
    </row>
    <row r="138">
      <c r="A138" s="7">
        <f>IF(Справочник!A143="","",Справочник!A143)</f>
        <v/>
      </c>
      <c r="B138" s="7">
        <f>IF(Справочник!B143="","",Справочник!B143)</f>
        <v/>
      </c>
      <c r="C138" s="8">
        <f>IF(A138="","",IF(B138="",SUMPRODUCT((Накладные!$C$5:$C$204=A138)*(Накладные!$E$5:$E$204=Справочник!$B$4)*(Накладные!$G$5:$G$204="Приход")*(Накладные!$F$5:$F$204))-SUMPRODUCT((Накладные!$C$5:$C$204=A138)*(Накладные!$E$5:$E$204=Справочник!$B$4)*(Накладные!$G$5:$G$204="Расход")*(Накладные!$F$5:$F$204)),SUMPRODUCT((Накладные!$C$5:$C$204=A138)*(Накладные!$D$5:$D$204=B138)*(Накладные!$E$5:$E$204=Справочник!$B$4)*(Накладные!$G$5:$G$204="Приход")*(Накладные!$F$5:$F$204))-SUMPRODUCT((Накладные!$C$5:$C$204=A138)*(Накладные!$D$5:$D$204=B138)*(Накладные!$E$5:$E$204=Справочник!$B$4)*(Накладные!$G$5:$G$204="Расход")*(Накладные!$F$5:$F$204))))</f>
        <v/>
      </c>
      <c r="D138" s="8">
        <f>IF(A138="","",IF(B138="",SUMPRODUCT((Накладные!$C$5:$C$204=A138)*(Накладные!$E$5:$E$204=Справочник!$B$5)*(Накладные!$G$5:$G$204="Приход")*(Накладные!$F$5:$F$204))-SUMPRODUCT((Накладные!$C$5:$C$204=A138)*(Накладные!$E$5:$E$204=Справочник!$B$5)*(Накладные!$G$5:$G$204="Расход")*(Накладные!$F$5:$F$204)),SUMPRODUCT((Накладные!$C$5:$C$204=A138)*(Накладные!$D$5:$D$204=B138)*(Накладные!$E$5:$E$204=Справочник!$B$5)*(Накладные!$G$5:$G$204="Приход")*(Накладные!$F$5:$F$204))-SUMPRODUCT((Накладные!$C$5:$C$204=A138)*(Накладные!$D$5:$D$204=B138)*(Накладные!$E$5:$E$204=Справочник!$B$5)*(Накладные!$G$5:$G$204="Расход")*(Накладные!$F$5:$F$204))))</f>
        <v/>
      </c>
      <c r="E138" s="8">
        <f>IF(A138="","",C138+D138)</f>
        <v/>
      </c>
    </row>
    <row r="139">
      <c r="A139" s="7">
        <f>IF(Справочник!A144="","",Справочник!A144)</f>
        <v/>
      </c>
      <c r="B139" s="7">
        <f>IF(Справочник!B144="","",Справочник!B144)</f>
        <v/>
      </c>
      <c r="C139" s="8">
        <f>IF(A139="","",IF(B139="",SUMPRODUCT((Накладные!$C$5:$C$204=A139)*(Накладные!$E$5:$E$204=Справочник!$B$4)*(Накладные!$G$5:$G$204="Приход")*(Накладные!$F$5:$F$204))-SUMPRODUCT((Накладные!$C$5:$C$204=A139)*(Накладные!$E$5:$E$204=Справочник!$B$4)*(Накладные!$G$5:$G$204="Расход")*(Накладные!$F$5:$F$204)),SUMPRODUCT((Накладные!$C$5:$C$204=A139)*(Накладные!$D$5:$D$204=B139)*(Накладные!$E$5:$E$204=Справочник!$B$4)*(Накладные!$G$5:$G$204="Приход")*(Накладные!$F$5:$F$204))-SUMPRODUCT((Накладные!$C$5:$C$204=A139)*(Накладные!$D$5:$D$204=B139)*(Накладные!$E$5:$E$204=Справочник!$B$4)*(Накладные!$G$5:$G$204="Расход")*(Накладные!$F$5:$F$204))))</f>
        <v/>
      </c>
      <c r="D139" s="8">
        <f>IF(A139="","",IF(B139="",SUMPRODUCT((Накладные!$C$5:$C$204=A139)*(Накладные!$E$5:$E$204=Справочник!$B$5)*(Накладные!$G$5:$G$204="Приход")*(Накладные!$F$5:$F$204))-SUMPRODUCT((Накладные!$C$5:$C$204=A139)*(Накладные!$E$5:$E$204=Справочник!$B$5)*(Накладные!$G$5:$G$204="Расход")*(Накладные!$F$5:$F$204)),SUMPRODUCT((Накладные!$C$5:$C$204=A139)*(Накладные!$D$5:$D$204=B139)*(Накладные!$E$5:$E$204=Справочник!$B$5)*(Накладные!$G$5:$G$204="Приход")*(Накладные!$F$5:$F$204))-SUMPRODUCT((Накладные!$C$5:$C$204=A139)*(Накладные!$D$5:$D$204=B139)*(Накладные!$E$5:$E$204=Справочник!$B$5)*(Накладные!$G$5:$G$204="Расход")*(Накладные!$F$5:$F$204))))</f>
        <v/>
      </c>
      <c r="E139" s="8">
        <f>IF(A139="","",C139+D139)</f>
        <v/>
      </c>
    </row>
    <row r="140">
      <c r="A140" s="7">
        <f>IF(Справочник!A145="","",Справочник!A145)</f>
        <v/>
      </c>
      <c r="B140" s="7">
        <f>IF(Справочник!B145="","",Справочник!B145)</f>
        <v/>
      </c>
      <c r="C140" s="8">
        <f>IF(A140="","",IF(B140="",SUMPRODUCT((Накладные!$C$5:$C$204=A140)*(Накладные!$E$5:$E$204=Справочник!$B$4)*(Накладные!$G$5:$G$204="Приход")*(Накладные!$F$5:$F$204))-SUMPRODUCT((Накладные!$C$5:$C$204=A140)*(Накладные!$E$5:$E$204=Справочник!$B$4)*(Накладные!$G$5:$G$204="Расход")*(Накладные!$F$5:$F$204)),SUMPRODUCT((Накладные!$C$5:$C$204=A140)*(Накладные!$D$5:$D$204=B140)*(Накладные!$E$5:$E$204=Справочник!$B$4)*(Накладные!$G$5:$G$204="Приход")*(Накладные!$F$5:$F$204))-SUMPRODUCT((Накладные!$C$5:$C$204=A140)*(Накладные!$D$5:$D$204=B140)*(Накладные!$E$5:$E$204=Справочник!$B$4)*(Накладные!$G$5:$G$204="Расход")*(Накладные!$F$5:$F$204))))</f>
        <v/>
      </c>
      <c r="D140" s="8">
        <f>IF(A140="","",IF(B140="",SUMPRODUCT((Накладные!$C$5:$C$204=A140)*(Накладные!$E$5:$E$204=Справочник!$B$5)*(Накладные!$G$5:$G$204="Приход")*(Накладные!$F$5:$F$204))-SUMPRODUCT((Накладные!$C$5:$C$204=A140)*(Накладные!$E$5:$E$204=Справочник!$B$5)*(Накладные!$G$5:$G$204="Расход")*(Накладные!$F$5:$F$204)),SUMPRODUCT((Накладные!$C$5:$C$204=A140)*(Накладные!$D$5:$D$204=B140)*(Накладные!$E$5:$E$204=Справочник!$B$5)*(Накладные!$G$5:$G$204="Приход")*(Накладные!$F$5:$F$204))-SUMPRODUCT((Накладные!$C$5:$C$204=A140)*(Накладные!$D$5:$D$204=B140)*(Накладные!$E$5:$E$204=Справочник!$B$5)*(Накладные!$G$5:$G$204="Расход")*(Накладные!$F$5:$F$204))))</f>
        <v/>
      </c>
      <c r="E140" s="8">
        <f>IF(A140="","",C140+D140)</f>
        <v/>
      </c>
    </row>
    <row r="141">
      <c r="A141" s="7">
        <f>IF(Справочник!A146="","",Справочник!A146)</f>
        <v/>
      </c>
      <c r="B141" s="7">
        <f>IF(Справочник!B146="","",Справочник!B146)</f>
        <v/>
      </c>
      <c r="C141" s="8">
        <f>IF(A141="","",IF(B141="",SUMPRODUCT((Накладные!$C$5:$C$204=A141)*(Накладные!$E$5:$E$204=Справочник!$B$4)*(Накладные!$G$5:$G$204="Приход")*(Накладные!$F$5:$F$204))-SUMPRODUCT((Накладные!$C$5:$C$204=A141)*(Накладные!$E$5:$E$204=Справочник!$B$4)*(Накладные!$G$5:$G$204="Расход")*(Накладные!$F$5:$F$204)),SUMPRODUCT((Накладные!$C$5:$C$204=A141)*(Накладные!$D$5:$D$204=B141)*(Накладные!$E$5:$E$204=Справочник!$B$4)*(Накладные!$G$5:$G$204="Приход")*(Накладные!$F$5:$F$204))-SUMPRODUCT((Накладные!$C$5:$C$204=A141)*(Накладные!$D$5:$D$204=B141)*(Накладные!$E$5:$E$204=Справочник!$B$4)*(Накладные!$G$5:$G$204="Расход")*(Накладные!$F$5:$F$204))))</f>
        <v/>
      </c>
      <c r="D141" s="8">
        <f>IF(A141="","",IF(B141="",SUMPRODUCT((Накладные!$C$5:$C$204=A141)*(Накладные!$E$5:$E$204=Справочник!$B$5)*(Накладные!$G$5:$G$204="Приход")*(Накладные!$F$5:$F$204))-SUMPRODUCT((Накладные!$C$5:$C$204=A141)*(Накладные!$E$5:$E$204=Справочник!$B$5)*(Накладные!$G$5:$G$204="Расход")*(Накладные!$F$5:$F$204)),SUMPRODUCT((Накладные!$C$5:$C$204=A141)*(Накладные!$D$5:$D$204=B141)*(Накладные!$E$5:$E$204=Справочник!$B$5)*(Накладные!$G$5:$G$204="Приход")*(Накладные!$F$5:$F$204))-SUMPRODUCT((Накладные!$C$5:$C$204=A141)*(Накладные!$D$5:$D$204=B141)*(Накладные!$E$5:$E$204=Справочник!$B$5)*(Накладные!$G$5:$G$204="Расход")*(Накладные!$F$5:$F$204))))</f>
        <v/>
      </c>
      <c r="E141" s="8">
        <f>IF(A141="","",C141+D141)</f>
        <v/>
      </c>
    </row>
    <row r="142">
      <c r="A142" s="7">
        <f>IF(Справочник!A147="","",Справочник!A147)</f>
        <v/>
      </c>
      <c r="B142" s="7">
        <f>IF(Справочник!B147="","",Справочник!B147)</f>
        <v/>
      </c>
      <c r="C142" s="8">
        <f>IF(A142="","",IF(B142="",SUMPRODUCT((Накладные!$C$5:$C$204=A142)*(Накладные!$E$5:$E$204=Справочник!$B$4)*(Накладные!$G$5:$G$204="Приход")*(Накладные!$F$5:$F$204))-SUMPRODUCT((Накладные!$C$5:$C$204=A142)*(Накладные!$E$5:$E$204=Справочник!$B$4)*(Накладные!$G$5:$G$204="Расход")*(Накладные!$F$5:$F$204)),SUMPRODUCT((Накладные!$C$5:$C$204=A142)*(Накладные!$D$5:$D$204=B142)*(Накладные!$E$5:$E$204=Справочник!$B$4)*(Накладные!$G$5:$G$204="Приход")*(Накладные!$F$5:$F$204))-SUMPRODUCT((Накладные!$C$5:$C$204=A142)*(Накладные!$D$5:$D$204=B142)*(Накладные!$E$5:$E$204=Справочник!$B$4)*(Накладные!$G$5:$G$204="Расход")*(Накладные!$F$5:$F$204))))</f>
        <v/>
      </c>
      <c r="D142" s="8">
        <f>IF(A142="","",IF(B142="",SUMPRODUCT((Накладные!$C$5:$C$204=A142)*(Накладные!$E$5:$E$204=Справочник!$B$5)*(Накладные!$G$5:$G$204="Приход")*(Накладные!$F$5:$F$204))-SUMPRODUCT((Накладные!$C$5:$C$204=A142)*(Накладные!$E$5:$E$204=Справочник!$B$5)*(Накладные!$G$5:$G$204="Расход")*(Накладные!$F$5:$F$204)),SUMPRODUCT((Накладные!$C$5:$C$204=A142)*(Накладные!$D$5:$D$204=B142)*(Накладные!$E$5:$E$204=Справочник!$B$5)*(Накладные!$G$5:$G$204="Приход")*(Накладные!$F$5:$F$204))-SUMPRODUCT((Накладные!$C$5:$C$204=A142)*(Накладные!$D$5:$D$204=B142)*(Накладные!$E$5:$E$204=Справочник!$B$5)*(Накладные!$G$5:$G$204="Расход")*(Накладные!$F$5:$F$204))))</f>
        <v/>
      </c>
      <c r="E142" s="8">
        <f>IF(A142="","",C142+D142)</f>
        <v/>
      </c>
    </row>
    <row r="143">
      <c r="A143" s="7">
        <f>IF(Справочник!A148="","",Справочник!A148)</f>
        <v/>
      </c>
      <c r="B143" s="7">
        <f>IF(Справочник!B148="","",Справочник!B148)</f>
        <v/>
      </c>
      <c r="C143" s="8">
        <f>IF(A143="","",IF(B143="",SUMPRODUCT((Накладные!$C$5:$C$204=A143)*(Накладные!$E$5:$E$204=Справочник!$B$4)*(Накладные!$G$5:$G$204="Приход")*(Накладные!$F$5:$F$204))-SUMPRODUCT((Накладные!$C$5:$C$204=A143)*(Накладные!$E$5:$E$204=Справочник!$B$4)*(Накладные!$G$5:$G$204="Расход")*(Накладные!$F$5:$F$204)),SUMPRODUCT((Накладные!$C$5:$C$204=A143)*(Накладные!$D$5:$D$204=B143)*(Накладные!$E$5:$E$204=Справочник!$B$4)*(Накладные!$G$5:$G$204="Приход")*(Накладные!$F$5:$F$204))-SUMPRODUCT((Накладные!$C$5:$C$204=A143)*(Накладные!$D$5:$D$204=B143)*(Накладные!$E$5:$E$204=Справочник!$B$4)*(Накладные!$G$5:$G$204="Расход")*(Накладные!$F$5:$F$204))))</f>
        <v/>
      </c>
      <c r="D143" s="8">
        <f>IF(A143="","",IF(B143="",SUMPRODUCT((Накладные!$C$5:$C$204=A143)*(Накладные!$E$5:$E$204=Справочник!$B$5)*(Накладные!$G$5:$G$204="Приход")*(Накладные!$F$5:$F$204))-SUMPRODUCT((Накладные!$C$5:$C$204=A143)*(Накладные!$E$5:$E$204=Справочник!$B$5)*(Накладные!$G$5:$G$204="Расход")*(Накладные!$F$5:$F$204)),SUMPRODUCT((Накладные!$C$5:$C$204=A143)*(Накладные!$D$5:$D$204=B143)*(Накладные!$E$5:$E$204=Справочник!$B$5)*(Накладные!$G$5:$G$204="Приход")*(Накладные!$F$5:$F$204))-SUMPRODUCT((Накладные!$C$5:$C$204=A143)*(Накладные!$D$5:$D$204=B143)*(Накладные!$E$5:$E$204=Справочник!$B$5)*(Накладные!$G$5:$G$204="Расход")*(Накладные!$F$5:$F$204))))</f>
        <v/>
      </c>
      <c r="E143" s="8">
        <f>IF(A143="","",C143+D143)</f>
        <v/>
      </c>
    </row>
    <row r="144">
      <c r="A144" s="7">
        <f>IF(Справочник!A149="","",Справочник!A149)</f>
        <v/>
      </c>
      <c r="B144" s="7">
        <f>IF(Справочник!B149="","",Справочник!B149)</f>
        <v/>
      </c>
      <c r="C144" s="8">
        <f>IF(A144="","",IF(B144="",SUMPRODUCT((Накладные!$C$5:$C$204=A144)*(Накладные!$E$5:$E$204=Справочник!$B$4)*(Накладные!$G$5:$G$204="Приход")*(Накладные!$F$5:$F$204))-SUMPRODUCT((Накладные!$C$5:$C$204=A144)*(Накладные!$E$5:$E$204=Справочник!$B$4)*(Накладные!$G$5:$G$204="Расход")*(Накладные!$F$5:$F$204)),SUMPRODUCT((Накладные!$C$5:$C$204=A144)*(Накладные!$D$5:$D$204=B144)*(Накладные!$E$5:$E$204=Справочник!$B$4)*(Накладные!$G$5:$G$204="Приход")*(Накладные!$F$5:$F$204))-SUMPRODUCT((Накладные!$C$5:$C$204=A144)*(Накладные!$D$5:$D$204=B144)*(Накладные!$E$5:$E$204=Справочник!$B$4)*(Накладные!$G$5:$G$204="Расход")*(Накладные!$F$5:$F$204))))</f>
        <v/>
      </c>
      <c r="D144" s="8">
        <f>IF(A144="","",IF(B144="",SUMPRODUCT((Накладные!$C$5:$C$204=A144)*(Накладные!$E$5:$E$204=Справочник!$B$5)*(Накладные!$G$5:$G$204="Приход")*(Накладные!$F$5:$F$204))-SUMPRODUCT((Накладные!$C$5:$C$204=A144)*(Накладные!$E$5:$E$204=Справочник!$B$5)*(Накладные!$G$5:$G$204="Расход")*(Накладные!$F$5:$F$204)),SUMPRODUCT((Накладные!$C$5:$C$204=A144)*(Накладные!$D$5:$D$204=B144)*(Накладные!$E$5:$E$204=Справочник!$B$5)*(Накладные!$G$5:$G$204="Приход")*(Накладные!$F$5:$F$204))-SUMPRODUCT((Накладные!$C$5:$C$204=A144)*(Накладные!$D$5:$D$204=B144)*(Накладные!$E$5:$E$204=Справочник!$B$5)*(Накладные!$G$5:$G$204="Расход")*(Накладные!$F$5:$F$204))))</f>
        <v/>
      </c>
      <c r="E144" s="8">
        <f>IF(A144="","",C144+D144)</f>
        <v/>
      </c>
    </row>
    <row r="145">
      <c r="A145" s="7">
        <f>IF(Справочник!A150="","",Справочник!A150)</f>
        <v/>
      </c>
      <c r="B145" s="7">
        <f>IF(Справочник!B150="","",Справочник!B150)</f>
        <v/>
      </c>
      <c r="C145" s="8">
        <f>IF(A145="","",IF(B145="",SUMPRODUCT((Накладные!$C$5:$C$204=A145)*(Накладные!$E$5:$E$204=Справочник!$B$4)*(Накладные!$G$5:$G$204="Приход")*(Накладные!$F$5:$F$204))-SUMPRODUCT((Накладные!$C$5:$C$204=A145)*(Накладные!$E$5:$E$204=Справочник!$B$4)*(Накладные!$G$5:$G$204="Расход")*(Накладные!$F$5:$F$204)),SUMPRODUCT((Накладные!$C$5:$C$204=A145)*(Накладные!$D$5:$D$204=B145)*(Накладные!$E$5:$E$204=Справочник!$B$4)*(Накладные!$G$5:$G$204="Приход")*(Накладные!$F$5:$F$204))-SUMPRODUCT((Накладные!$C$5:$C$204=A145)*(Накладные!$D$5:$D$204=B145)*(Накладные!$E$5:$E$204=Справочник!$B$4)*(Накладные!$G$5:$G$204="Расход")*(Накладные!$F$5:$F$204))))</f>
        <v/>
      </c>
      <c r="D145" s="8">
        <f>IF(A145="","",IF(B145="",SUMPRODUCT((Накладные!$C$5:$C$204=A145)*(Накладные!$E$5:$E$204=Справочник!$B$5)*(Накладные!$G$5:$G$204="Приход")*(Накладные!$F$5:$F$204))-SUMPRODUCT((Накладные!$C$5:$C$204=A145)*(Накладные!$E$5:$E$204=Справочник!$B$5)*(Накладные!$G$5:$G$204="Расход")*(Накладные!$F$5:$F$204)),SUMPRODUCT((Накладные!$C$5:$C$204=A145)*(Накладные!$D$5:$D$204=B145)*(Накладные!$E$5:$E$204=Справочник!$B$5)*(Накладные!$G$5:$G$204="Приход")*(Накладные!$F$5:$F$204))-SUMPRODUCT((Накладные!$C$5:$C$204=A145)*(Накладные!$D$5:$D$204=B145)*(Накладные!$E$5:$E$204=Справочник!$B$5)*(Накладные!$G$5:$G$204="Расход")*(Накладные!$F$5:$F$204))))</f>
        <v/>
      </c>
      <c r="E145" s="8">
        <f>IF(A145="","",C145+D145)</f>
        <v/>
      </c>
    </row>
    <row r="146">
      <c r="A146" s="7">
        <f>IF(Справочник!A151="","",Справочник!A151)</f>
        <v/>
      </c>
      <c r="B146" s="7">
        <f>IF(Справочник!B151="","",Справочник!B151)</f>
        <v/>
      </c>
      <c r="C146" s="8">
        <f>IF(A146="","",IF(B146="",SUMPRODUCT((Накладные!$C$5:$C$204=A146)*(Накладные!$E$5:$E$204=Справочник!$B$4)*(Накладные!$G$5:$G$204="Приход")*(Накладные!$F$5:$F$204))-SUMPRODUCT((Накладные!$C$5:$C$204=A146)*(Накладные!$E$5:$E$204=Справочник!$B$4)*(Накладные!$G$5:$G$204="Расход")*(Накладные!$F$5:$F$204)),SUMPRODUCT((Накладные!$C$5:$C$204=A146)*(Накладные!$D$5:$D$204=B146)*(Накладные!$E$5:$E$204=Справочник!$B$4)*(Накладные!$G$5:$G$204="Приход")*(Накладные!$F$5:$F$204))-SUMPRODUCT((Накладные!$C$5:$C$204=A146)*(Накладные!$D$5:$D$204=B146)*(Накладные!$E$5:$E$204=Справочник!$B$4)*(Накладные!$G$5:$G$204="Расход")*(Накладные!$F$5:$F$204))))</f>
        <v/>
      </c>
      <c r="D146" s="8">
        <f>IF(A146="","",IF(B146="",SUMPRODUCT((Накладные!$C$5:$C$204=A146)*(Накладные!$E$5:$E$204=Справочник!$B$5)*(Накладные!$G$5:$G$204="Приход")*(Накладные!$F$5:$F$204))-SUMPRODUCT((Накладные!$C$5:$C$204=A146)*(Накладные!$E$5:$E$204=Справочник!$B$5)*(Накладные!$G$5:$G$204="Расход")*(Накладные!$F$5:$F$204)),SUMPRODUCT((Накладные!$C$5:$C$204=A146)*(Накладные!$D$5:$D$204=B146)*(Накладные!$E$5:$E$204=Справочник!$B$5)*(Накладные!$G$5:$G$204="Приход")*(Накладные!$F$5:$F$204))-SUMPRODUCT((Накладные!$C$5:$C$204=A146)*(Накладные!$D$5:$D$204=B146)*(Накладные!$E$5:$E$204=Справочник!$B$5)*(Накладные!$G$5:$G$204="Расход")*(Накладные!$F$5:$F$204))))</f>
        <v/>
      </c>
      <c r="E146" s="8">
        <f>IF(A146="","",C146+D146)</f>
        <v/>
      </c>
    </row>
    <row r="147">
      <c r="A147" s="7">
        <f>IF(Справочник!A152="","",Справочник!A152)</f>
        <v/>
      </c>
      <c r="B147" s="7">
        <f>IF(Справочник!B152="","",Справочник!B152)</f>
        <v/>
      </c>
      <c r="C147" s="8">
        <f>IF(A147="","",IF(B147="",SUMPRODUCT((Накладные!$C$5:$C$204=A147)*(Накладные!$E$5:$E$204=Справочник!$B$4)*(Накладные!$G$5:$G$204="Приход")*(Накладные!$F$5:$F$204))-SUMPRODUCT((Накладные!$C$5:$C$204=A147)*(Накладные!$E$5:$E$204=Справочник!$B$4)*(Накладные!$G$5:$G$204="Расход")*(Накладные!$F$5:$F$204)),SUMPRODUCT((Накладные!$C$5:$C$204=A147)*(Накладные!$D$5:$D$204=B147)*(Накладные!$E$5:$E$204=Справочник!$B$4)*(Накладные!$G$5:$G$204="Приход")*(Накладные!$F$5:$F$204))-SUMPRODUCT((Накладные!$C$5:$C$204=A147)*(Накладные!$D$5:$D$204=B147)*(Накладные!$E$5:$E$204=Справочник!$B$4)*(Накладные!$G$5:$G$204="Расход")*(Накладные!$F$5:$F$204))))</f>
        <v/>
      </c>
      <c r="D147" s="8">
        <f>IF(A147="","",IF(B147="",SUMPRODUCT((Накладные!$C$5:$C$204=A147)*(Накладные!$E$5:$E$204=Справочник!$B$5)*(Накладные!$G$5:$G$204="Приход")*(Накладные!$F$5:$F$204))-SUMPRODUCT((Накладные!$C$5:$C$204=A147)*(Накладные!$E$5:$E$204=Справочник!$B$5)*(Накладные!$G$5:$G$204="Расход")*(Накладные!$F$5:$F$204)),SUMPRODUCT((Накладные!$C$5:$C$204=A147)*(Накладные!$D$5:$D$204=B147)*(Накладные!$E$5:$E$204=Справочник!$B$5)*(Накладные!$G$5:$G$204="Приход")*(Накладные!$F$5:$F$204))-SUMPRODUCT((Накладные!$C$5:$C$204=A147)*(Накладные!$D$5:$D$204=B147)*(Накладные!$E$5:$E$204=Справочник!$B$5)*(Накладные!$G$5:$G$204="Расход")*(Накладные!$F$5:$F$204))))</f>
        <v/>
      </c>
      <c r="E147" s="8">
        <f>IF(A147="","",C147+D147)</f>
        <v/>
      </c>
    </row>
    <row r="148">
      <c r="A148" s="7">
        <f>IF(Справочник!A153="","",Справочник!A153)</f>
        <v/>
      </c>
      <c r="B148" s="7">
        <f>IF(Справочник!B153="","",Справочник!B153)</f>
        <v/>
      </c>
      <c r="C148" s="8">
        <f>IF(A148="","",IF(B148="",SUMPRODUCT((Накладные!$C$5:$C$204=A148)*(Накладные!$E$5:$E$204=Справочник!$B$4)*(Накладные!$G$5:$G$204="Приход")*(Накладные!$F$5:$F$204))-SUMPRODUCT((Накладные!$C$5:$C$204=A148)*(Накладные!$E$5:$E$204=Справочник!$B$4)*(Накладные!$G$5:$G$204="Расход")*(Накладные!$F$5:$F$204)),SUMPRODUCT((Накладные!$C$5:$C$204=A148)*(Накладные!$D$5:$D$204=B148)*(Накладные!$E$5:$E$204=Справочник!$B$4)*(Накладные!$G$5:$G$204="Приход")*(Накладные!$F$5:$F$204))-SUMPRODUCT((Накладные!$C$5:$C$204=A148)*(Накладные!$D$5:$D$204=B148)*(Накладные!$E$5:$E$204=Справочник!$B$4)*(Накладные!$G$5:$G$204="Расход")*(Накладные!$F$5:$F$204))))</f>
        <v/>
      </c>
      <c r="D148" s="8">
        <f>IF(A148="","",IF(B148="",SUMPRODUCT((Накладные!$C$5:$C$204=A148)*(Накладные!$E$5:$E$204=Справочник!$B$5)*(Накладные!$G$5:$G$204="Приход")*(Накладные!$F$5:$F$204))-SUMPRODUCT((Накладные!$C$5:$C$204=A148)*(Накладные!$E$5:$E$204=Справочник!$B$5)*(Накладные!$G$5:$G$204="Расход")*(Накладные!$F$5:$F$204)),SUMPRODUCT((Накладные!$C$5:$C$204=A148)*(Накладные!$D$5:$D$204=B148)*(Накладные!$E$5:$E$204=Справочник!$B$5)*(Накладные!$G$5:$G$204="Приход")*(Накладные!$F$5:$F$204))-SUMPRODUCT((Накладные!$C$5:$C$204=A148)*(Накладные!$D$5:$D$204=B148)*(Накладные!$E$5:$E$204=Справочник!$B$5)*(Накладные!$G$5:$G$204="Расход")*(Накладные!$F$5:$F$204))))</f>
        <v/>
      </c>
      <c r="E148" s="8">
        <f>IF(A148="","",C148+D148)</f>
        <v/>
      </c>
    </row>
    <row r="149">
      <c r="A149" s="7">
        <f>IF(Справочник!A154="","",Справочник!A154)</f>
        <v/>
      </c>
      <c r="B149" s="7">
        <f>IF(Справочник!B154="","",Справочник!B154)</f>
        <v/>
      </c>
      <c r="C149" s="8">
        <f>IF(A149="","",IF(B149="",SUMPRODUCT((Накладные!$C$5:$C$204=A149)*(Накладные!$E$5:$E$204=Справочник!$B$4)*(Накладные!$G$5:$G$204="Приход")*(Накладные!$F$5:$F$204))-SUMPRODUCT((Накладные!$C$5:$C$204=A149)*(Накладные!$E$5:$E$204=Справочник!$B$4)*(Накладные!$G$5:$G$204="Расход")*(Накладные!$F$5:$F$204)),SUMPRODUCT((Накладные!$C$5:$C$204=A149)*(Накладные!$D$5:$D$204=B149)*(Накладные!$E$5:$E$204=Справочник!$B$4)*(Накладные!$G$5:$G$204="Приход")*(Накладные!$F$5:$F$204))-SUMPRODUCT((Накладные!$C$5:$C$204=A149)*(Накладные!$D$5:$D$204=B149)*(Накладные!$E$5:$E$204=Справочник!$B$4)*(Накладные!$G$5:$G$204="Расход")*(Накладные!$F$5:$F$204))))</f>
        <v/>
      </c>
      <c r="D149" s="8">
        <f>IF(A149="","",IF(B149="",SUMPRODUCT((Накладные!$C$5:$C$204=A149)*(Накладные!$E$5:$E$204=Справочник!$B$5)*(Накладные!$G$5:$G$204="Приход")*(Накладные!$F$5:$F$204))-SUMPRODUCT((Накладные!$C$5:$C$204=A149)*(Накладные!$E$5:$E$204=Справочник!$B$5)*(Накладные!$G$5:$G$204="Расход")*(Накладные!$F$5:$F$204)),SUMPRODUCT((Накладные!$C$5:$C$204=A149)*(Накладные!$D$5:$D$204=B149)*(Накладные!$E$5:$E$204=Справочник!$B$5)*(Накладные!$G$5:$G$204="Приход")*(Накладные!$F$5:$F$204))-SUMPRODUCT((Накладные!$C$5:$C$204=A149)*(Накладные!$D$5:$D$204=B149)*(Накладные!$E$5:$E$204=Справочник!$B$5)*(Накладные!$G$5:$G$204="Расход")*(Накладные!$F$5:$F$204))))</f>
        <v/>
      </c>
      <c r="E149" s="8">
        <f>IF(A149="","",C149+D149)</f>
        <v/>
      </c>
    </row>
    <row r="150">
      <c r="A150" s="7">
        <f>IF(Справочник!A155="","",Справочник!A155)</f>
        <v/>
      </c>
      <c r="B150" s="7">
        <f>IF(Справочник!B155="","",Справочник!B155)</f>
        <v/>
      </c>
      <c r="C150" s="8">
        <f>IF(A150="","",IF(B150="",SUMPRODUCT((Накладные!$C$5:$C$204=A150)*(Накладные!$E$5:$E$204=Справочник!$B$4)*(Накладные!$G$5:$G$204="Приход")*(Накладные!$F$5:$F$204))-SUMPRODUCT((Накладные!$C$5:$C$204=A150)*(Накладные!$E$5:$E$204=Справочник!$B$4)*(Накладные!$G$5:$G$204="Расход")*(Накладные!$F$5:$F$204)),SUMPRODUCT((Накладные!$C$5:$C$204=A150)*(Накладные!$D$5:$D$204=B150)*(Накладные!$E$5:$E$204=Справочник!$B$4)*(Накладные!$G$5:$G$204="Приход")*(Накладные!$F$5:$F$204))-SUMPRODUCT((Накладные!$C$5:$C$204=A150)*(Накладные!$D$5:$D$204=B150)*(Накладные!$E$5:$E$204=Справочник!$B$4)*(Накладные!$G$5:$G$204="Расход")*(Накладные!$F$5:$F$204))))</f>
        <v/>
      </c>
      <c r="D150" s="8">
        <f>IF(A150="","",IF(B150="",SUMPRODUCT((Накладные!$C$5:$C$204=A150)*(Накладные!$E$5:$E$204=Справочник!$B$5)*(Накладные!$G$5:$G$204="Приход")*(Накладные!$F$5:$F$204))-SUMPRODUCT((Накладные!$C$5:$C$204=A150)*(Накладные!$E$5:$E$204=Справочник!$B$5)*(Накладные!$G$5:$G$204="Расход")*(Накладные!$F$5:$F$204)),SUMPRODUCT((Накладные!$C$5:$C$204=A150)*(Накладные!$D$5:$D$204=B150)*(Накладные!$E$5:$E$204=Справочник!$B$5)*(Накладные!$G$5:$G$204="Приход")*(Накладные!$F$5:$F$204))-SUMPRODUCT((Накладные!$C$5:$C$204=A150)*(Накладные!$D$5:$D$204=B150)*(Накладные!$E$5:$E$204=Справочник!$B$5)*(Накладные!$G$5:$G$204="Расход")*(Накладные!$F$5:$F$204))))</f>
        <v/>
      </c>
      <c r="E150" s="8">
        <f>IF(A150="","",C150+D150)</f>
        <v/>
      </c>
    </row>
    <row r="151">
      <c r="A151" s="7">
        <f>IF(Справочник!A156="","",Справочник!A156)</f>
        <v/>
      </c>
      <c r="B151" s="7">
        <f>IF(Справочник!B156="","",Справочник!B156)</f>
        <v/>
      </c>
      <c r="C151" s="8">
        <f>IF(A151="","",IF(B151="",SUMPRODUCT((Накладные!$C$5:$C$204=A151)*(Накладные!$E$5:$E$204=Справочник!$B$4)*(Накладные!$G$5:$G$204="Приход")*(Накладные!$F$5:$F$204))-SUMPRODUCT((Накладные!$C$5:$C$204=A151)*(Накладные!$E$5:$E$204=Справочник!$B$4)*(Накладные!$G$5:$G$204="Расход")*(Накладные!$F$5:$F$204)),SUMPRODUCT((Накладные!$C$5:$C$204=A151)*(Накладные!$D$5:$D$204=B151)*(Накладные!$E$5:$E$204=Справочник!$B$4)*(Накладные!$G$5:$G$204="Приход")*(Накладные!$F$5:$F$204))-SUMPRODUCT((Накладные!$C$5:$C$204=A151)*(Накладные!$D$5:$D$204=B151)*(Накладные!$E$5:$E$204=Справочник!$B$4)*(Накладные!$G$5:$G$204="Расход")*(Накладные!$F$5:$F$204))))</f>
        <v/>
      </c>
      <c r="D151" s="8">
        <f>IF(A151="","",IF(B151="",SUMPRODUCT((Накладные!$C$5:$C$204=A151)*(Накладные!$E$5:$E$204=Справочник!$B$5)*(Накладные!$G$5:$G$204="Приход")*(Накладные!$F$5:$F$204))-SUMPRODUCT((Накладные!$C$5:$C$204=A151)*(Накладные!$E$5:$E$204=Справочник!$B$5)*(Накладные!$G$5:$G$204="Расход")*(Накладные!$F$5:$F$204)),SUMPRODUCT((Накладные!$C$5:$C$204=A151)*(Накладные!$D$5:$D$204=B151)*(Накладные!$E$5:$E$204=Справочник!$B$5)*(Накладные!$G$5:$G$204="Приход")*(Накладные!$F$5:$F$204))-SUMPRODUCT((Накладные!$C$5:$C$204=A151)*(Накладные!$D$5:$D$204=B151)*(Накладные!$E$5:$E$204=Справочник!$B$5)*(Накладные!$G$5:$G$204="Расход")*(Накладные!$F$5:$F$204))))</f>
        <v/>
      </c>
      <c r="E151" s="8">
        <f>IF(A151="","",C151+D151)</f>
        <v/>
      </c>
    </row>
    <row r="152">
      <c r="A152" s="7">
        <f>IF(Справочник!A157="","",Справочник!A157)</f>
        <v/>
      </c>
      <c r="B152" s="7">
        <f>IF(Справочник!B157="","",Справочник!B157)</f>
        <v/>
      </c>
      <c r="C152" s="8">
        <f>IF(A152="","",IF(B152="",SUMPRODUCT((Накладные!$C$5:$C$204=A152)*(Накладные!$E$5:$E$204=Справочник!$B$4)*(Накладные!$G$5:$G$204="Приход")*(Накладные!$F$5:$F$204))-SUMPRODUCT((Накладные!$C$5:$C$204=A152)*(Накладные!$E$5:$E$204=Справочник!$B$4)*(Накладные!$G$5:$G$204="Расход")*(Накладные!$F$5:$F$204)),SUMPRODUCT((Накладные!$C$5:$C$204=A152)*(Накладные!$D$5:$D$204=B152)*(Накладные!$E$5:$E$204=Справочник!$B$4)*(Накладные!$G$5:$G$204="Приход")*(Накладные!$F$5:$F$204))-SUMPRODUCT((Накладные!$C$5:$C$204=A152)*(Накладные!$D$5:$D$204=B152)*(Накладные!$E$5:$E$204=Справочник!$B$4)*(Накладные!$G$5:$G$204="Расход")*(Накладные!$F$5:$F$204))))</f>
        <v/>
      </c>
      <c r="D152" s="8">
        <f>IF(A152="","",IF(B152="",SUMPRODUCT((Накладные!$C$5:$C$204=A152)*(Накладные!$E$5:$E$204=Справочник!$B$5)*(Накладные!$G$5:$G$204="Приход")*(Накладные!$F$5:$F$204))-SUMPRODUCT((Накладные!$C$5:$C$204=A152)*(Накладные!$E$5:$E$204=Справочник!$B$5)*(Накладные!$G$5:$G$204="Расход")*(Накладные!$F$5:$F$204)),SUMPRODUCT((Накладные!$C$5:$C$204=A152)*(Накладные!$D$5:$D$204=B152)*(Накладные!$E$5:$E$204=Справочник!$B$5)*(Накладные!$G$5:$G$204="Приход")*(Накладные!$F$5:$F$204))-SUMPRODUCT((Накладные!$C$5:$C$204=A152)*(Накладные!$D$5:$D$204=B152)*(Накладные!$E$5:$E$204=Справочник!$B$5)*(Накладные!$G$5:$G$204="Расход")*(Накладные!$F$5:$F$204))))</f>
        <v/>
      </c>
      <c r="E152" s="8">
        <f>IF(A152="","",C152+D152)</f>
        <v/>
      </c>
    </row>
    <row r="153">
      <c r="A153" s="7">
        <f>IF(Справочник!A158="","",Справочник!A158)</f>
        <v/>
      </c>
      <c r="B153" s="7">
        <f>IF(Справочник!B158="","",Справочник!B158)</f>
        <v/>
      </c>
      <c r="C153" s="8">
        <f>IF(A153="","",IF(B153="",SUMPRODUCT((Накладные!$C$5:$C$204=A153)*(Накладные!$E$5:$E$204=Справочник!$B$4)*(Накладные!$G$5:$G$204="Приход")*(Накладные!$F$5:$F$204))-SUMPRODUCT((Накладные!$C$5:$C$204=A153)*(Накладные!$E$5:$E$204=Справочник!$B$4)*(Накладные!$G$5:$G$204="Расход")*(Накладные!$F$5:$F$204)),SUMPRODUCT((Накладные!$C$5:$C$204=A153)*(Накладные!$D$5:$D$204=B153)*(Накладные!$E$5:$E$204=Справочник!$B$4)*(Накладные!$G$5:$G$204="Приход")*(Накладные!$F$5:$F$204))-SUMPRODUCT((Накладные!$C$5:$C$204=A153)*(Накладные!$D$5:$D$204=B153)*(Накладные!$E$5:$E$204=Справочник!$B$4)*(Накладные!$G$5:$G$204="Расход")*(Накладные!$F$5:$F$204))))</f>
        <v/>
      </c>
      <c r="D153" s="8">
        <f>IF(A153="","",IF(B153="",SUMPRODUCT((Накладные!$C$5:$C$204=A153)*(Накладные!$E$5:$E$204=Справочник!$B$5)*(Накладные!$G$5:$G$204="Приход")*(Накладные!$F$5:$F$204))-SUMPRODUCT((Накладные!$C$5:$C$204=A153)*(Накладные!$E$5:$E$204=Справочник!$B$5)*(Накладные!$G$5:$G$204="Расход")*(Накладные!$F$5:$F$204)),SUMPRODUCT((Накладные!$C$5:$C$204=A153)*(Накладные!$D$5:$D$204=B153)*(Накладные!$E$5:$E$204=Справочник!$B$5)*(Накладные!$G$5:$G$204="Приход")*(Накладные!$F$5:$F$204))-SUMPRODUCT((Накладные!$C$5:$C$204=A153)*(Накладные!$D$5:$D$204=B153)*(Накладные!$E$5:$E$204=Справочник!$B$5)*(Накладные!$G$5:$G$204="Расход")*(Накладные!$F$5:$F$204))))</f>
        <v/>
      </c>
      <c r="E153" s="8">
        <f>IF(A153="","",C153+D153)</f>
        <v/>
      </c>
    </row>
    <row r="154">
      <c r="A154" s="7">
        <f>IF(Справочник!A159="","",Справочник!A159)</f>
        <v/>
      </c>
      <c r="B154" s="7">
        <f>IF(Справочник!B159="","",Справочник!B159)</f>
        <v/>
      </c>
      <c r="C154" s="8">
        <f>IF(A154="","",IF(B154="",SUMPRODUCT((Накладные!$C$5:$C$204=A154)*(Накладные!$E$5:$E$204=Справочник!$B$4)*(Накладные!$G$5:$G$204="Приход")*(Накладные!$F$5:$F$204))-SUMPRODUCT((Накладные!$C$5:$C$204=A154)*(Накладные!$E$5:$E$204=Справочник!$B$4)*(Накладные!$G$5:$G$204="Расход")*(Накладные!$F$5:$F$204)),SUMPRODUCT((Накладные!$C$5:$C$204=A154)*(Накладные!$D$5:$D$204=B154)*(Накладные!$E$5:$E$204=Справочник!$B$4)*(Накладные!$G$5:$G$204="Приход")*(Накладные!$F$5:$F$204))-SUMPRODUCT((Накладные!$C$5:$C$204=A154)*(Накладные!$D$5:$D$204=B154)*(Накладные!$E$5:$E$204=Справочник!$B$4)*(Накладные!$G$5:$G$204="Расход")*(Накладные!$F$5:$F$204))))</f>
        <v/>
      </c>
      <c r="D154" s="8">
        <f>IF(A154="","",IF(B154="",SUMPRODUCT((Накладные!$C$5:$C$204=A154)*(Накладные!$E$5:$E$204=Справочник!$B$5)*(Накладные!$G$5:$G$204="Приход")*(Накладные!$F$5:$F$204))-SUMPRODUCT((Накладные!$C$5:$C$204=A154)*(Накладные!$E$5:$E$204=Справочник!$B$5)*(Накладные!$G$5:$G$204="Расход")*(Накладные!$F$5:$F$204)),SUMPRODUCT((Накладные!$C$5:$C$204=A154)*(Накладные!$D$5:$D$204=B154)*(Накладные!$E$5:$E$204=Справочник!$B$5)*(Накладные!$G$5:$G$204="Приход")*(Накладные!$F$5:$F$204))-SUMPRODUCT((Накладные!$C$5:$C$204=A154)*(Накладные!$D$5:$D$204=B154)*(Накладные!$E$5:$E$204=Справочник!$B$5)*(Накладные!$G$5:$G$204="Расход")*(Накладные!$F$5:$F$204))))</f>
        <v/>
      </c>
      <c r="E154" s="8">
        <f>IF(A154="","",C154+D154)</f>
        <v/>
      </c>
    </row>
    <row r="155">
      <c r="A155" s="7">
        <f>IF(Справочник!A160="","",Справочник!A160)</f>
        <v/>
      </c>
      <c r="B155" s="7">
        <f>IF(Справочник!B160="","",Справочник!B160)</f>
        <v/>
      </c>
      <c r="C155" s="8">
        <f>IF(A155="","",IF(B155="",SUMPRODUCT((Накладные!$C$5:$C$204=A155)*(Накладные!$E$5:$E$204=Справочник!$B$4)*(Накладные!$G$5:$G$204="Приход")*(Накладные!$F$5:$F$204))-SUMPRODUCT((Накладные!$C$5:$C$204=A155)*(Накладные!$E$5:$E$204=Справочник!$B$4)*(Накладные!$G$5:$G$204="Расход")*(Накладные!$F$5:$F$204)),SUMPRODUCT((Накладные!$C$5:$C$204=A155)*(Накладные!$D$5:$D$204=B155)*(Накладные!$E$5:$E$204=Справочник!$B$4)*(Накладные!$G$5:$G$204="Приход")*(Накладные!$F$5:$F$204))-SUMPRODUCT((Накладные!$C$5:$C$204=A155)*(Накладные!$D$5:$D$204=B155)*(Накладные!$E$5:$E$204=Справочник!$B$4)*(Накладные!$G$5:$G$204="Расход")*(Накладные!$F$5:$F$204))))</f>
        <v/>
      </c>
      <c r="D155" s="8">
        <f>IF(A155="","",IF(B155="",SUMPRODUCT((Накладные!$C$5:$C$204=A155)*(Накладные!$E$5:$E$204=Справочник!$B$5)*(Накладные!$G$5:$G$204="Приход")*(Накладные!$F$5:$F$204))-SUMPRODUCT((Накладные!$C$5:$C$204=A155)*(Накладные!$E$5:$E$204=Справочник!$B$5)*(Накладные!$G$5:$G$204="Расход")*(Накладные!$F$5:$F$204)),SUMPRODUCT((Накладные!$C$5:$C$204=A155)*(Накладные!$D$5:$D$204=B155)*(Накладные!$E$5:$E$204=Справочник!$B$5)*(Накладные!$G$5:$G$204="Приход")*(Накладные!$F$5:$F$204))-SUMPRODUCT((Накладные!$C$5:$C$204=A155)*(Накладные!$D$5:$D$204=B155)*(Накладные!$E$5:$E$204=Справочник!$B$5)*(Накладные!$G$5:$G$204="Расход")*(Накладные!$F$5:$F$204))))</f>
        <v/>
      </c>
      <c r="E155" s="8">
        <f>IF(A155="","",C155+D155)</f>
        <v/>
      </c>
    </row>
    <row r="156">
      <c r="A156" s="7">
        <f>IF(Справочник!A161="","",Справочник!A161)</f>
        <v/>
      </c>
      <c r="B156" s="7">
        <f>IF(Справочник!B161="","",Справочник!B161)</f>
        <v/>
      </c>
      <c r="C156" s="8">
        <f>IF(A156="","",IF(B156="",SUMPRODUCT((Накладные!$C$5:$C$204=A156)*(Накладные!$E$5:$E$204=Справочник!$B$4)*(Накладные!$G$5:$G$204="Приход")*(Накладные!$F$5:$F$204))-SUMPRODUCT((Накладные!$C$5:$C$204=A156)*(Накладные!$E$5:$E$204=Справочник!$B$4)*(Накладные!$G$5:$G$204="Расход")*(Накладные!$F$5:$F$204)),SUMPRODUCT((Накладные!$C$5:$C$204=A156)*(Накладные!$D$5:$D$204=B156)*(Накладные!$E$5:$E$204=Справочник!$B$4)*(Накладные!$G$5:$G$204="Приход")*(Накладные!$F$5:$F$204))-SUMPRODUCT((Накладные!$C$5:$C$204=A156)*(Накладные!$D$5:$D$204=B156)*(Накладные!$E$5:$E$204=Справочник!$B$4)*(Накладные!$G$5:$G$204="Расход")*(Накладные!$F$5:$F$204))))</f>
        <v/>
      </c>
      <c r="D156" s="8">
        <f>IF(A156="","",IF(B156="",SUMPRODUCT((Накладные!$C$5:$C$204=A156)*(Накладные!$E$5:$E$204=Справочник!$B$5)*(Накладные!$G$5:$G$204="Приход")*(Накладные!$F$5:$F$204))-SUMPRODUCT((Накладные!$C$5:$C$204=A156)*(Накладные!$E$5:$E$204=Справочник!$B$5)*(Накладные!$G$5:$G$204="Расход")*(Накладные!$F$5:$F$204)),SUMPRODUCT((Накладные!$C$5:$C$204=A156)*(Накладные!$D$5:$D$204=B156)*(Накладные!$E$5:$E$204=Справочник!$B$5)*(Накладные!$G$5:$G$204="Приход")*(Накладные!$F$5:$F$204))-SUMPRODUCT((Накладные!$C$5:$C$204=A156)*(Накладные!$D$5:$D$204=B156)*(Накладные!$E$5:$E$204=Справочник!$B$5)*(Накладные!$G$5:$G$204="Расход")*(Накладные!$F$5:$F$204))))</f>
        <v/>
      </c>
      <c r="E156" s="8">
        <f>IF(A156="","",C156+D156)</f>
        <v/>
      </c>
    </row>
    <row r="157">
      <c r="A157" s="7">
        <f>IF(Справочник!A162="","",Справочник!A162)</f>
        <v/>
      </c>
      <c r="B157" s="7">
        <f>IF(Справочник!B162="","",Справочник!B162)</f>
        <v/>
      </c>
      <c r="C157" s="8">
        <f>IF(A157="","",IF(B157="",SUMPRODUCT((Накладные!$C$5:$C$204=A157)*(Накладные!$E$5:$E$204=Справочник!$B$4)*(Накладные!$G$5:$G$204="Приход")*(Накладные!$F$5:$F$204))-SUMPRODUCT((Накладные!$C$5:$C$204=A157)*(Накладные!$E$5:$E$204=Справочник!$B$4)*(Накладные!$G$5:$G$204="Расход")*(Накладные!$F$5:$F$204)),SUMPRODUCT((Накладные!$C$5:$C$204=A157)*(Накладные!$D$5:$D$204=B157)*(Накладные!$E$5:$E$204=Справочник!$B$4)*(Накладные!$G$5:$G$204="Приход")*(Накладные!$F$5:$F$204))-SUMPRODUCT((Накладные!$C$5:$C$204=A157)*(Накладные!$D$5:$D$204=B157)*(Накладные!$E$5:$E$204=Справочник!$B$4)*(Накладные!$G$5:$G$204="Расход")*(Накладные!$F$5:$F$204))))</f>
        <v/>
      </c>
      <c r="D157" s="8">
        <f>IF(A157="","",IF(B157="",SUMPRODUCT((Накладные!$C$5:$C$204=A157)*(Накладные!$E$5:$E$204=Справочник!$B$5)*(Накладные!$G$5:$G$204="Приход")*(Накладные!$F$5:$F$204))-SUMPRODUCT((Накладные!$C$5:$C$204=A157)*(Накладные!$E$5:$E$204=Справочник!$B$5)*(Накладные!$G$5:$G$204="Расход")*(Накладные!$F$5:$F$204)),SUMPRODUCT((Накладные!$C$5:$C$204=A157)*(Накладные!$D$5:$D$204=B157)*(Накладные!$E$5:$E$204=Справочник!$B$5)*(Накладные!$G$5:$G$204="Приход")*(Накладные!$F$5:$F$204))-SUMPRODUCT((Накладные!$C$5:$C$204=A157)*(Накладные!$D$5:$D$204=B157)*(Накладные!$E$5:$E$204=Справочник!$B$5)*(Накладные!$G$5:$G$204="Расход")*(Накладные!$F$5:$F$204))))</f>
        <v/>
      </c>
      <c r="E157" s="8">
        <f>IF(A157="","",C157+D157)</f>
        <v/>
      </c>
    </row>
    <row r="158">
      <c r="A158" s="7">
        <f>IF(Справочник!A163="","",Справочник!A163)</f>
        <v/>
      </c>
      <c r="B158" s="7">
        <f>IF(Справочник!B163="","",Справочник!B163)</f>
        <v/>
      </c>
      <c r="C158" s="8">
        <f>IF(A158="","",IF(B158="",SUMPRODUCT((Накладные!$C$5:$C$204=A158)*(Накладные!$E$5:$E$204=Справочник!$B$4)*(Накладные!$G$5:$G$204="Приход")*(Накладные!$F$5:$F$204))-SUMPRODUCT((Накладные!$C$5:$C$204=A158)*(Накладные!$E$5:$E$204=Справочник!$B$4)*(Накладные!$G$5:$G$204="Расход")*(Накладные!$F$5:$F$204)),SUMPRODUCT((Накладные!$C$5:$C$204=A158)*(Накладные!$D$5:$D$204=B158)*(Накладные!$E$5:$E$204=Справочник!$B$4)*(Накладные!$G$5:$G$204="Приход")*(Накладные!$F$5:$F$204))-SUMPRODUCT((Накладные!$C$5:$C$204=A158)*(Накладные!$D$5:$D$204=B158)*(Накладные!$E$5:$E$204=Справочник!$B$4)*(Накладные!$G$5:$G$204="Расход")*(Накладные!$F$5:$F$204))))</f>
        <v/>
      </c>
      <c r="D158" s="8">
        <f>IF(A158="","",IF(B158="",SUMPRODUCT((Накладные!$C$5:$C$204=A158)*(Накладные!$E$5:$E$204=Справочник!$B$5)*(Накладные!$G$5:$G$204="Приход")*(Накладные!$F$5:$F$204))-SUMPRODUCT((Накладные!$C$5:$C$204=A158)*(Накладные!$E$5:$E$204=Справочник!$B$5)*(Накладные!$G$5:$G$204="Расход")*(Накладные!$F$5:$F$204)),SUMPRODUCT((Накладные!$C$5:$C$204=A158)*(Накладные!$D$5:$D$204=B158)*(Накладные!$E$5:$E$204=Справочник!$B$5)*(Накладные!$G$5:$G$204="Приход")*(Накладные!$F$5:$F$204))-SUMPRODUCT((Накладные!$C$5:$C$204=A158)*(Накладные!$D$5:$D$204=B158)*(Накладные!$E$5:$E$204=Справочник!$B$5)*(Накладные!$G$5:$G$204="Расход")*(Накладные!$F$5:$F$204))))</f>
        <v/>
      </c>
      <c r="E158" s="8">
        <f>IF(A158="","",C158+D158)</f>
        <v/>
      </c>
    </row>
    <row r="159">
      <c r="A159" s="7">
        <f>IF(Справочник!A164="","",Справочник!A164)</f>
        <v/>
      </c>
      <c r="B159" s="7">
        <f>IF(Справочник!B164="","",Справочник!B164)</f>
        <v/>
      </c>
      <c r="C159" s="8">
        <f>IF(A159="","",IF(B159="",SUMPRODUCT((Накладные!$C$5:$C$204=A159)*(Накладные!$E$5:$E$204=Справочник!$B$4)*(Накладные!$G$5:$G$204="Приход")*(Накладные!$F$5:$F$204))-SUMPRODUCT((Накладные!$C$5:$C$204=A159)*(Накладные!$E$5:$E$204=Справочник!$B$4)*(Накладные!$G$5:$G$204="Расход")*(Накладные!$F$5:$F$204)),SUMPRODUCT((Накладные!$C$5:$C$204=A159)*(Накладные!$D$5:$D$204=B159)*(Накладные!$E$5:$E$204=Справочник!$B$4)*(Накладные!$G$5:$G$204="Приход")*(Накладные!$F$5:$F$204))-SUMPRODUCT((Накладные!$C$5:$C$204=A159)*(Накладные!$D$5:$D$204=B159)*(Накладные!$E$5:$E$204=Справочник!$B$4)*(Накладные!$G$5:$G$204="Расход")*(Накладные!$F$5:$F$204))))</f>
        <v/>
      </c>
      <c r="D159" s="8">
        <f>IF(A159="","",IF(B159="",SUMPRODUCT((Накладные!$C$5:$C$204=A159)*(Накладные!$E$5:$E$204=Справочник!$B$5)*(Накладные!$G$5:$G$204="Приход")*(Накладные!$F$5:$F$204))-SUMPRODUCT((Накладные!$C$5:$C$204=A159)*(Накладные!$E$5:$E$204=Справочник!$B$5)*(Накладные!$G$5:$G$204="Расход")*(Накладные!$F$5:$F$204)),SUMPRODUCT((Накладные!$C$5:$C$204=A159)*(Накладные!$D$5:$D$204=B159)*(Накладные!$E$5:$E$204=Справочник!$B$5)*(Накладные!$G$5:$G$204="Приход")*(Накладные!$F$5:$F$204))-SUMPRODUCT((Накладные!$C$5:$C$204=A159)*(Накладные!$D$5:$D$204=B159)*(Накладные!$E$5:$E$204=Справочник!$B$5)*(Накладные!$G$5:$G$204="Расход")*(Накладные!$F$5:$F$204))))</f>
        <v/>
      </c>
      <c r="E159" s="8">
        <f>IF(A159="","",C159+D159)</f>
        <v/>
      </c>
    </row>
    <row r="160">
      <c r="A160" s="7">
        <f>IF(Справочник!A165="","",Справочник!A165)</f>
        <v/>
      </c>
      <c r="B160" s="7">
        <f>IF(Справочник!B165="","",Справочник!B165)</f>
        <v/>
      </c>
      <c r="C160" s="8">
        <f>IF(A160="","",IF(B160="",SUMPRODUCT((Накладные!$C$5:$C$204=A160)*(Накладные!$E$5:$E$204=Справочник!$B$4)*(Накладные!$G$5:$G$204="Приход")*(Накладные!$F$5:$F$204))-SUMPRODUCT((Накладные!$C$5:$C$204=A160)*(Накладные!$E$5:$E$204=Справочник!$B$4)*(Накладные!$G$5:$G$204="Расход")*(Накладные!$F$5:$F$204)),SUMPRODUCT((Накладные!$C$5:$C$204=A160)*(Накладные!$D$5:$D$204=B160)*(Накладные!$E$5:$E$204=Справочник!$B$4)*(Накладные!$G$5:$G$204="Приход")*(Накладные!$F$5:$F$204))-SUMPRODUCT((Накладные!$C$5:$C$204=A160)*(Накладные!$D$5:$D$204=B160)*(Накладные!$E$5:$E$204=Справочник!$B$4)*(Накладные!$G$5:$G$204="Расход")*(Накладные!$F$5:$F$204))))</f>
        <v/>
      </c>
      <c r="D160" s="8">
        <f>IF(A160="","",IF(B160="",SUMPRODUCT((Накладные!$C$5:$C$204=A160)*(Накладные!$E$5:$E$204=Справочник!$B$5)*(Накладные!$G$5:$G$204="Приход")*(Накладные!$F$5:$F$204))-SUMPRODUCT((Накладные!$C$5:$C$204=A160)*(Накладные!$E$5:$E$204=Справочник!$B$5)*(Накладные!$G$5:$G$204="Расход")*(Накладные!$F$5:$F$204)),SUMPRODUCT((Накладные!$C$5:$C$204=A160)*(Накладные!$D$5:$D$204=B160)*(Накладные!$E$5:$E$204=Справочник!$B$5)*(Накладные!$G$5:$G$204="Приход")*(Накладные!$F$5:$F$204))-SUMPRODUCT((Накладные!$C$5:$C$204=A160)*(Накладные!$D$5:$D$204=B160)*(Накладные!$E$5:$E$204=Справочник!$B$5)*(Накладные!$G$5:$G$204="Расход")*(Накладные!$F$5:$F$204))))</f>
        <v/>
      </c>
      <c r="E160" s="8">
        <f>IF(A160="","",C160+D160)</f>
        <v/>
      </c>
    </row>
    <row r="161">
      <c r="A161" s="7">
        <f>IF(Справочник!A166="","",Справочник!A166)</f>
        <v/>
      </c>
      <c r="B161" s="7">
        <f>IF(Справочник!B166="","",Справочник!B166)</f>
        <v/>
      </c>
      <c r="C161" s="8">
        <f>IF(A161="","",IF(B161="",SUMPRODUCT((Накладные!$C$5:$C$204=A161)*(Накладные!$E$5:$E$204=Справочник!$B$4)*(Накладные!$G$5:$G$204="Приход")*(Накладные!$F$5:$F$204))-SUMPRODUCT((Накладные!$C$5:$C$204=A161)*(Накладные!$E$5:$E$204=Справочник!$B$4)*(Накладные!$G$5:$G$204="Расход")*(Накладные!$F$5:$F$204)),SUMPRODUCT((Накладные!$C$5:$C$204=A161)*(Накладные!$D$5:$D$204=B161)*(Накладные!$E$5:$E$204=Справочник!$B$4)*(Накладные!$G$5:$G$204="Приход")*(Накладные!$F$5:$F$204))-SUMPRODUCT((Накладные!$C$5:$C$204=A161)*(Накладные!$D$5:$D$204=B161)*(Накладные!$E$5:$E$204=Справочник!$B$4)*(Накладные!$G$5:$G$204="Расход")*(Накладные!$F$5:$F$204))))</f>
        <v/>
      </c>
      <c r="D161" s="8">
        <f>IF(A161="","",IF(B161="",SUMPRODUCT((Накладные!$C$5:$C$204=A161)*(Накладные!$E$5:$E$204=Справочник!$B$5)*(Накладные!$G$5:$G$204="Приход")*(Накладные!$F$5:$F$204))-SUMPRODUCT((Накладные!$C$5:$C$204=A161)*(Накладные!$E$5:$E$204=Справочник!$B$5)*(Накладные!$G$5:$G$204="Расход")*(Накладные!$F$5:$F$204)),SUMPRODUCT((Накладные!$C$5:$C$204=A161)*(Накладные!$D$5:$D$204=B161)*(Накладные!$E$5:$E$204=Справочник!$B$5)*(Накладные!$G$5:$G$204="Приход")*(Накладные!$F$5:$F$204))-SUMPRODUCT((Накладные!$C$5:$C$204=A161)*(Накладные!$D$5:$D$204=B161)*(Накладные!$E$5:$E$204=Справочник!$B$5)*(Накладные!$G$5:$G$204="Расход")*(Накладные!$F$5:$F$204))))</f>
        <v/>
      </c>
      <c r="E161" s="8">
        <f>IF(A161="","",C161+D161)</f>
        <v/>
      </c>
    </row>
    <row r="162">
      <c r="A162" s="7">
        <f>IF(Справочник!A167="","",Справочник!A167)</f>
        <v/>
      </c>
      <c r="B162" s="7">
        <f>IF(Справочник!B167="","",Справочник!B167)</f>
        <v/>
      </c>
      <c r="C162" s="8">
        <f>IF(A162="","",IF(B162="",SUMPRODUCT((Накладные!$C$5:$C$204=A162)*(Накладные!$E$5:$E$204=Справочник!$B$4)*(Накладные!$G$5:$G$204="Приход")*(Накладные!$F$5:$F$204))-SUMPRODUCT((Накладные!$C$5:$C$204=A162)*(Накладные!$E$5:$E$204=Справочник!$B$4)*(Накладные!$G$5:$G$204="Расход")*(Накладные!$F$5:$F$204)),SUMPRODUCT((Накладные!$C$5:$C$204=A162)*(Накладные!$D$5:$D$204=B162)*(Накладные!$E$5:$E$204=Справочник!$B$4)*(Накладные!$G$5:$G$204="Приход")*(Накладные!$F$5:$F$204))-SUMPRODUCT((Накладные!$C$5:$C$204=A162)*(Накладные!$D$5:$D$204=B162)*(Накладные!$E$5:$E$204=Справочник!$B$4)*(Накладные!$G$5:$G$204="Расход")*(Накладные!$F$5:$F$204))))</f>
        <v/>
      </c>
      <c r="D162" s="8">
        <f>IF(A162="","",IF(B162="",SUMPRODUCT((Накладные!$C$5:$C$204=A162)*(Накладные!$E$5:$E$204=Справочник!$B$5)*(Накладные!$G$5:$G$204="Приход")*(Накладные!$F$5:$F$204))-SUMPRODUCT((Накладные!$C$5:$C$204=A162)*(Накладные!$E$5:$E$204=Справочник!$B$5)*(Накладные!$G$5:$G$204="Расход")*(Накладные!$F$5:$F$204)),SUMPRODUCT((Накладные!$C$5:$C$204=A162)*(Накладные!$D$5:$D$204=B162)*(Накладные!$E$5:$E$204=Справочник!$B$5)*(Накладные!$G$5:$G$204="Приход")*(Накладные!$F$5:$F$204))-SUMPRODUCT((Накладные!$C$5:$C$204=A162)*(Накладные!$D$5:$D$204=B162)*(Накладные!$E$5:$E$204=Справочник!$B$5)*(Накладные!$G$5:$G$204="Расход")*(Накладные!$F$5:$F$204))))</f>
        <v/>
      </c>
      <c r="E162" s="8">
        <f>IF(A162="","",C162+D162)</f>
        <v/>
      </c>
    </row>
    <row r="163">
      <c r="A163" s="7">
        <f>IF(Справочник!A168="","",Справочник!A168)</f>
        <v/>
      </c>
      <c r="B163" s="7">
        <f>IF(Справочник!B168="","",Справочник!B168)</f>
        <v/>
      </c>
      <c r="C163" s="8">
        <f>IF(A163="","",IF(B163="",SUMPRODUCT((Накладные!$C$5:$C$204=A163)*(Накладные!$E$5:$E$204=Справочник!$B$4)*(Накладные!$G$5:$G$204="Приход")*(Накладные!$F$5:$F$204))-SUMPRODUCT((Накладные!$C$5:$C$204=A163)*(Накладные!$E$5:$E$204=Справочник!$B$4)*(Накладные!$G$5:$G$204="Расход")*(Накладные!$F$5:$F$204)),SUMPRODUCT((Накладные!$C$5:$C$204=A163)*(Накладные!$D$5:$D$204=B163)*(Накладные!$E$5:$E$204=Справочник!$B$4)*(Накладные!$G$5:$G$204="Приход")*(Накладные!$F$5:$F$204))-SUMPRODUCT((Накладные!$C$5:$C$204=A163)*(Накладные!$D$5:$D$204=B163)*(Накладные!$E$5:$E$204=Справочник!$B$4)*(Накладные!$G$5:$G$204="Расход")*(Накладные!$F$5:$F$204))))</f>
        <v/>
      </c>
      <c r="D163" s="8">
        <f>IF(A163="","",IF(B163="",SUMPRODUCT((Накладные!$C$5:$C$204=A163)*(Накладные!$E$5:$E$204=Справочник!$B$5)*(Накладные!$G$5:$G$204="Приход")*(Накладные!$F$5:$F$204))-SUMPRODUCT((Накладные!$C$5:$C$204=A163)*(Накладные!$E$5:$E$204=Справочник!$B$5)*(Накладные!$G$5:$G$204="Расход")*(Накладные!$F$5:$F$204)),SUMPRODUCT((Накладные!$C$5:$C$204=A163)*(Накладные!$D$5:$D$204=B163)*(Накладные!$E$5:$E$204=Справочник!$B$5)*(Накладные!$G$5:$G$204="Приход")*(Накладные!$F$5:$F$204))-SUMPRODUCT((Накладные!$C$5:$C$204=A163)*(Накладные!$D$5:$D$204=B163)*(Накладные!$E$5:$E$204=Справочник!$B$5)*(Накладные!$G$5:$G$204="Расход")*(Накладные!$F$5:$F$204))))</f>
        <v/>
      </c>
      <c r="E163" s="8">
        <f>IF(A163="","",C163+D163)</f>
        <v/>
      </c>
    </row>
    <row r="164">
      <c r="A164" s="7">
        <f>IF(Справочник!A169="","",Справочник!A169)</f>
        <v/>
      </c>
      <c r="B164" s="7">
        <f>IF(Справочник!B169="","",Справочник!B169)</f>
        <v/>
      </c>
      <c r="C164" s="8">
        <f>IF(A164="","",IF(B164="",SUMPRODUCT((Накладные!$C$5:$C$204=A164)*(Накладные!$E$5:$E$204=Справочник!$B$4)*(Накладные!$G$5:$G$204="Приход")*(Накладные!$F$5:$F$204))-SUMPRODUCT((Накладные!$C$5:$C$204=A164)*(Накладные!$E$5:$E$204=Справочник!$B$4)*(Накладные!$G$5:$G$204="Расход")*(Накладные!$F$5:$F$204)),SUMPRODUCT((Накладные!$C$5:$C$204=A164)*(Накладные!$D$5:$D$204=B164)*(Накладные!$E$5:$E$204=Справочник!$B$4)*(Накладные!$G$5:$G$204="Приход")*(Накладные!$F$5:$F$204))-SUMPRODUCT((Накладные!$C$5:$C$204=A164)*(Накладные!$D$5:$D$204=B164)*(Накладные!$E$5:$E$204=Справочник!$B$4)*(Накладные!$G$5:$G$204="Расход")*(Накладные!$F$5:$F$204))))</f>
        <v/>
      </c>
      <c r="D164" s="8">
        <f>IF(A164="","",IF(B164="",SUMPRODUCT((Накладные!$C$5:$C$204=A164)*(Накладные!$E$5:$E$204=Справочник!$B$5)*(Накладные!$G$5:$G$204="Приход")*(Накладные!$F$5:$F$204))-SUMPRODUCT((Накладные!$C$5:$C$204=A164)*(Накладные!$E$5:$E$204=Справочник!$B$5)*(Накладные!$G$5:$G$204="Расход")*(Накладные!$F$5:$F$204)),SUMPRODUCT((Накладные!$C$5:$C$204=A164)*(Накладные!$D$5:$D$204=B164)*(Накладные!$E$5:$E$204=Справочник!$B$5)*(Накладные!$G$5:$G$204="Приход")*(Накладные!$F$5:$F$204))-SUMPRODUCT((Накладные!$C$5:$C$204=A164)*(Накладные!$D$5:$D$204=B164)*(Накладные!$E$5:$E$204=Справочник!$B$5)*(Накладные!$G$5:$G$204="Расход")*(Накладные!$F$5:$F$204))))</f>
        <v/>
      </c>
      <c r="E164" s="8">
        <f>IF(A164="","",C164+D164)</f>
        <v/>
      </c>
    </row>
    <row r="165">
      <c r="A165" s="7">
        <f>IF(Справочник!A170="","",Справочник!A170)</f>
        <v/>
      </c>
      <c r="B165" s="7">
        <f>IF(Справочник!B170="","",Справочник!B170)</f>
        <v/>
      </c>
      <c r="C165" s="8">
        <f>IF(A165="","",IF(B165="",SUMPRODUCT((Накладные!$C$5:$C$204=A165)*(Накладные!$E$5:$E$204=Справочник!$B$4)*(Накладные!$G$5:$G$204="Приход")*(Накладные!$F$5:$F$204))-SUMPRODUCT((Накладные!$C$5:$C$204=A165)*(Накладные!$E$5:$E$204=Справочник!$B$4)*(Накладные!$G$5:$G$204="Расход")*(Накладные!$F$5:$F$204)),SUMPRODUCT((Накладные!$C$5:$C$204=A165)*(Накладные!$D$5:$D$204=B165)*(Накладные!$E$5:$E$204=Справочник!$B$4)*(Накладные!$G$5:$G$204="Приход")*(Накладные!$F$5:$F$204))-SUMPRODUCT((Накладные!$C$5:$C$204=A165)*(Накладные!$D$5:$D$204=B165)*(Накладные!$E$5:$E$204=Справочник!$B$4)*(Накладные!$G$5:$G$204="Расход")*(Накладные!$F$5:$F$204))))</f>
        <v/>
      </c>
      <c r="D165" s="8">
        <f>IF(A165="","",IF(B165="",SUMPRODUCT((Накладные!$C$5:$C$204=A165)*(Накладные!$E$5:$E$204=Справочник!$B$5)*(Накладные!$G$5:$G$204="Приход")*(Накладные!$F$5:$F$204))-SUMPRODUCT((Накладные!$C$5:$C$204=A165)*(Накладные!$E$5:$E$204=Справочник!$B$5)*(Накладные!$G$5:$G$204="Расход")*(Накладные!$F$5:$F$204)),SUMPRODUCT((Накладные!$C$5:$C$204=A165)*(Накладные!$D$5:$D$204=B165)*(Накладные!$E$5:$E$204=Справочник!$B$5)*(Накладные!$G$5:$G$204="Приход")*(Накладные!$F$5:$F$204))-SUMPRODUCT((Накладные!$C$5:$C$204=A165)*(Накладные!$D$5:$D$204=B165)*(Накладные!$E$5:$E$204=Справочник!$B$5)*(Накладные!$G$5:$G$204="Расход")*(Накладные!$F$5:$F$204))))</f>
        <v/>
      </c>
      <c r="E165" s="8">
        <f>IF(A165="","",C165+D165)</f>
        <v/>
      </c>
    </row>
    <row r="166">
      <c r="A166" s="7">
        <f>IF(Справочник!A171="","",Справочник!A171)</f>
        <v/>
      </c>
      <c r="B166" s="7">
        <f>IF(Справочник!B171="","",Справочник!B171)</f>
        <v/>
      </c>
      <c r="C166" s="8">
        <f>IF(A166="","",IF(B166="",SUMPRODUCT((Накладные!$C$5:$C$204=A166)*(Накладные!$E$5:$E$204=Справочник!$B$4)*(Накладные!$G$5:$G$204="Приход")*(Накладные!$F$5:$F$204))-SUMPRODUCT((Накладные!$C$5:$C$204=A166)*(Накладные!$E$5:$E$204=Справочник!$B$4)*(Накладные!$G$5:$G$204="Расход")*(Накладные!$F$5:$F$204)),SUMPRODUCT((Накладные!$C$5:$C$204=A166)*(Накладные!$D$5:$D$204=B166)*(Накладные!$E$5:$E$204=Справочник!$B$4)*(Накладные!$G$5:$G$204="Приход")*(Накладные!$F$5:$F$204))-SUMPRODUCT((Накладные!$C$5:$C$204=A166)*(Накладные!$D$5:$D$204=B166)*(Накладные!$E$5:$E$204=Справочник!$B$4)*(Накладные!$G$5:$G$204="Расход")*(Накладные!$F$5:$F$204))))</f>
        <v/>
      </c>
      <c r="D166" s="8">
        <f>IF(A166="","",IF(B166="",SUMPRODUCT((Накладные!$C$5:$C$204=A166)*(Накладные!$E$5:$E$204=Справочник!$B$5)*(Накладные!$G$5:$G$204="Приход")*(Накладные!$F$5:$F$204))-SUMPRODUCT((Накладные!$C$5:$C$204=A166)*(Накладные!$E$5:$E$204=Справочник!$B$5)*(Накладные!$G$5:$G$204="Расход")*(Накладные!$F$5:$F$204)),SUMPRODUCT((Накладные!$C$5:$C$204=A166)*(Накладные!$D$5:$D$204=B166)*(Накладные!$E$5:$E$204=Справочник!$B$5)*(Накладные!$G$5:$G$204="Приход")*(Накладные!$F$5:$F$204))-SUMPRODUCT((Накладные!$C$5:$C$204=A166)*(Накладные!$D$5:$D$204=B166)*(Накладные!$E$5:$E$204=Справочник!$B$5)*(Накладные!$G$5:$G$204="Расход")*(Накладные!$F$5:$F$204))))</f>
        <v/>
      </c>
      <c r="E166" s="8">
        <f>IF(A166="","",C166+D166)</f>
        <v/>
      </c>
    </row>
    <row r="167">
      <c r="A167" s="7">
        <f>IF(Справочник!A172="","",Справочник!A172)</f>
        <v/>
      </c>
      <c r="B167" s="7">
        <f>IF(Справочник!B172="","",Справочник!B172)</f>
        <v/>
      </c>
      <c r="C167" s="8">
        <f>IF(A167="","",IF(B167="",SUMPRODUCT((Накладные!$C$5:$C$204=A167)*(Накладные!$E$5:$E$204=Справочник!$B$4)*(Накладные!$G$5:$G$204="Приход")*(Накладные!$F$5:$F$204))-SUMPRODUCT((Накладные!$C$5:$C$204=A167)*(Накладные!$E$5:$E$204=Справочник!$B$4)*(Накладные!$G$5:$G$204="Расход")*(Накладные!$F$5:$F$204)),SUMPRODUCT((Накладные!$C$5:$C$204=A167)*(Накладные!$D$5:$D$204=B167)*(Накладные!$E$5:$E$204=Справочник!$B$4)*(Накладные!$G$5:$G$204="Приход")*(Накладные!$F$5:$F$204))-SUMPRODUCT((Накладные!$C$5:$C$204=A167)*(Накладные!$D$5:$D$204=B167)*(Накладные!$E$5:$E$204=Справочник!$B$4)*(Накладные!$G$5:$G$204="Расход")*(Накладные!$F$5:$F$204))))</f>
        <v/>
      </c>
      <c r="D167" s="8">
        <f>IF(A167="","",IF(B167="",SUMPRODUCT((Накладные!$C$5:$C$204=A167)*(Накладные!$E$5:$E$204=Справочник!$B$5)*(Накладные!$G$5:$G$204="Приход")*(Накладные!$F$5:$F$204))-SUMPRODUCT((Накладные!$C$5:$C$204=A167)*(Накладные!$E$5:$E$204=Справочник!$B$5)*(Накладные!$G$5:$G$204="Расход")*(Накладные!$F$5:$F$204)),SUMPRODUCT((Накладные!$C$5:$C$204=A167)*(Накладные!$D$5:$D$204=B167)*(Накладные!$E$5:$E$204=Справочник!$B$5)*(Накладные!$G$5:$G$204="Приход")*(Накладные!$F$5:$F$204))-SUMPRODUCT((Накладные!$C$5:$C$204=A167)*(Накладные!$D$5:$D$204=B167)*(Накладные!$E$5:$E$204=Справочник!$B$5)*(Накладные!$G$5:$G$204="Расход")*(Накладные!$F$5:$F$204))))</f>
        <v/>
      </c>
      <c r="E167" s="8">
        <f>IF(A167="","",C167+D167)</f>
        <v/>
      </c>
    </row>
    <row r="168">
      <c r="A168" s="7">
        <f>IF(Справочник!A173="","",Справочник!A173)</f>
        <v/>
      </c>
      <c r="B168" s="7">
        <f>IF(Справочник!B173="","",Справочник!B173)</f>
        <v/>
      </c>
      <c r="C168" s="8">
        <f>IF(A168="","",IF(B168="",SUMPRODUCT((Накладные!$C$5:$C$204=A168)*(Накладные!$E$5:$E$204=Справочник!$B$4)*(Накладные!$G$5:$G$204="Приход")*(Накладные!$F$5:$F$204))-SUMPRODUCT((Накладные!$C$5:$C$204=A168)*(Накладные!$E$5:$E$204=Справочник!$B$4)*(Накладные!$G$5:$G$204="Расход")*(Накладные!$F$5:$F$204)),SUMPRODUCT((Накладные!$C$5:$C$204=A168)*(Накладные!$D$5:$D$204=B168)*(Накладные!$E$5:$E$204=Справочник!$B$4)*(Накладные!$G$5:$G$204="Приход")*(Накладные!$F$5:$F$204))-SUMPRODUCT((Накладные!$C$5:$C$204=A168)*(Накладные!$D$5:$D$204=B168)*(Накладные!$E$5:$E$204=Справочник!$B$4)*(Накладные!$G$5:$G$204="Расход")*(Накладные!$F$5:$F$204))))</f>
        <v/>
      </c>
      <c r="D168" s="8">
        <f>IF(A168="","",IF(B168="",SUMPRODUCT((Накладные!$C$5:$C$204=A168)*(Накладные!$E$5:$E$204=Справочник!$B$5)*(Накладные!$G$5:$G$204="Приход")*(Накладные!$F$5:$F$204))-SUMPRODUCT((Накладные!$C$5:$C$204=A168)*(Накладные!$E$5:$E$204=Справочник!$B$5)*(Накладные!$G$5:$G$204="Расход")*(Накладные!$F$5:$F$204)),SUMPRODUCT((Накладные!$C$5:$C$204=A168)*(Накладные!$D$5:$D$204=B168)*(Накладные!$E$5:$E$204=Справочник!$B$5)*(Накладные!$G$5:$G$204="Приход")*(Накладные!$F$5:$F$204))-SUMPRODUCT((Накладные!$C$5:$C$204=A168)*(Накладные!$D$5:$D$204=B168)*(Накладные!$E$5:$E$204=Справочник!$B$5)*(Накладные!$G$5:$G$204="Расход")*(Накладные!$F$5:$F$204))))</f>
        <v/>
      </c>
      <c r="E168" s="8">
        <f>IF(A168="","",C168+D168)</f>
        <v/>
      </c>
    </row>
    <row r="169">
      <c r="A169" s="7">
        <f>IF(Справочник!A174="","",Справочник!A174)</f>
        <v/>
      </c>
      <c r="B169" s="7">
        <f>IF(Справочник!B174="","",Справочник!B174)</f>
        <v/>
      </c>
      <c r="C169" s="8">
        <f>IF(A169="","",IF(B169="",SUMPRODUCT((Накладные!$C$5:$C$204=A169)*(Накладные!$E$5:$E$204=Справочник!$B$4)*(Накладные!$G$5:$G$204="Приход")*(Накладные!$F$5:$F$204))-SUMPRODUCT((Накладные!$C$5:$C$204=A169)*(Накладные!$E$5:$E$204=Справочник!$B$4)*(Накладные!$G$5:$G$204="Расход")*(Накладные!$F$5:$F$204)),SUMPRODUCT((Накладные!$C$5:$C$204=A169)*(Накладные!$D$5:$D$204=B169)*(Накладные!$E$5:$E$204=Справочник!$B$4)*(Накладные!$G$5:$G$204="Приход")*(Накладные!$F$5:$F$204))-SUMPRODUCT((Накладные!$C$5:$C$204=A169)*(Накладные!$D$5:$D$204=B169)*(Накладные!$E$5:$E$204=Справочник!$B$4)*(Накладные!$G$5:$G$204="Расход")*(Накладные!$F$5:$F$204))))</f>
        <v/>
      </c>
      <c r="D169" s="8">
        <f>IF(A169="","",IF(B169="",SUMPRODUCT((Накладные!$C$5:$C$204=A169)*(Накладные!$E$5:$E$204=Справочник!$B$5)*(Накладные!$G$5:$G$204="Приход")*(Накладные!$F$5:$F$204))-SUMPRODUCT((Накладные!$C$5:$C$204=A169)*(Накладные!$E$5:$E$204=Справочник!$B$5)*(Накладные!$G$5:$G$204="Расход")*(Накладные!$F$5:$F$204)),SUMPRODUCT((Накладные!$C$5:$C$204=A169)*(Накладные!$D$5:$D$204=B169)*(Накладные!$E$5:$E$204=Справочник!$B$5)*(Накладные!$G$5:$G$204="Приход")*(Накладные!$F$5:$F$204))-SUMPRODUCT((Накладные!$C$5:$C$204=A169)*(Накладные!$D$5:$D$204=B169)*(Накладные!$E$5:$E$204=Справочник!$B$5)*(Накладные!$G$5:$G$204="Расход")*(Накладные!$F$5:$F$204))))</f>
        <v/>
      </c>
      <c r="E169" s="8">
        <f>IF(A169="","",C169+D169)</f>
        <v/>
      </c>
    </row>
    <row r="170">
      <c r="A170" s="7">
        <f>IF(Справочник!A175="","",Справочник!A175)</f>
        <v/>
      </c>
      <c r="B170" s="7">
        <f>IF(Справочник!B175="","",Справочник!B175)</f>
        <v/>
      </c>
      <c r="C170" s="8">
        <f>IF(A170="","",IF(B170="",SUMPRODUCT((Накладные!$C$5:$C$204=A170)*(Накладные!$E$5:$E$204=Справочник!$B$4)*(Накладные!$G$5:$G$204="Приход")*(Накладные!$F$5:$F$204))-SUMPRODUCT((Накладные!$C$5:$C$204=A170)*(Накладные!$E$5:$E$204=Справочник!$B$4)*(Накладные!$G$5:$G$204="Расход")*(Накладные!$F$5:$F$204)),SUMPRODUCT((Накладные!$C$5:$C$204=A170)*(Накладные!$D$5:$D$204=B170)*(Накладные!$E$5:$E$204=Справочник!$B$4)*(Накладные!$G$5:$G$204="Приход")*(Накладные!$F$5:$F$204))-SUMPRODUCT((Накладные!$C$5:$C$204=A170)*(Накладные!$D$5:$D$204=B170)*(Накладные!$E$5:$E$204=Справочник!$B$4)*(Накладные!$G$5:$G$204="Расход")*(Накладные!$F$5:$F$204))))</f>
        <v/>
      </c>
      <c r="D170" s="8">
        <f>IF(A170="","",IF(B170="",SUMPRODUCT((Накладные!$C$5:$C$204=A170)*(Накладные!$E$5:$E$204=Справочник!$B$5)*(Накладные!$G$5:$G$204="Приход")*(Накладные!$F$5:$F$204))-SUMPRODUCT((Накладные!$C$5:$C$204=A170)*(Накладные!$E$5:$E$204=Справочник!$B$5)*(Накладные!$G$5:$G$204="Расход")*(Накладные!$F$5:$F$204)),SUMPRODUCT((Накладные!$C$5:$C$204=A170)*(Накладные!$D$5:$D$204=B170)*(Накладные!$E$5:$E$204=Справочник!$B$5)*(Накладные!$G$5:$G$204="Приход")*(Накладные!$F$5:$F$204))-SUMPRODUCT((Накладные!$C$5:$C$204=A170)*(Накладные!$D$5:$D$204=B170)*(Накладные!$E$5:$E$204=Справочник!$B$5)*(Накладные!$G$5:$G$204="Расход")*(Накладные!$F$5:$F$204))))</f>
        <v/>
      </c>
      <c r="E170" s="8">
        <f>IF(A170="","",C170+D170)</f>
        <v/>
      </c>
    </row>
    <row r="171">
      <c r="A171" s="7">
        <f>IF(Справочник!A176="","",Справочник!A176)</f>
        <v/>
      </c>
      <c r="B171" s="7">
        <f>IF(Справочник!B176="","",Справочник!B176)</f>
        <v/>
      </c>
      <c r="C171" s="8">
        <f>IF(A171="","",IF(B171="",SUMPRODUCT((Накладные!$C$5:$C$204=A171)*(Накладные!$E$5:$E$204=Справочник!$B$4)*(Накладные!$G$5:$G$204="Приход")*(Накладные!$F$5:$F$204))-SUMPRODUCT((Накладные!$C$5:$C$204=A171)*(Накладные!$E$5:$E$204=Справочник!$B$4)*(Накладные!$G$5:$G$204="Расход")*(Накладные!$F$5:$F$204)),SUMPRODUCT((Накладные!$C$5:$C$204=A171)*(Накладные!$D$5:$D$204=B171)*(Накладные!$E$5:$E$204=Справочник!$B$4)*(Накладные!$G$5:$G$204="Приход")*(Накладные!$F$5:$F$204))-SUMPRODUCT((Накладные!$C$5:$C$204=A171)*(Накладные!$D$5:$D$204=B171)*(Накладные!$E$5:$E$204=Справочник!$B$4)*(Накладные!$G$5:$G$204="Расход")*(Накладные!$F$5:$F$204))))</f>
        <v/>
      </c>
      <c r="D171" s="8">
        <f>IF(A171="","",IF(B171="",SUMPRODUCT((Накладные!$C$5:$C$204=A171)*(Накладные!$E$5:$E$204=Справочник!$B$5)*(Накладные!$G$5:$G$204="Приход")*(Накладные!$F$5:$F$204))-SUMPRODUCT((Накладные!$C$5:$C$204=A171)*(Накладные!$E$5:$E$204=Справочник!$B$5)*(Накладные!$G$5:$G$204="Расход")*(Накладные!$F$5:$F$204)),SUMPRODUCT((Накладные!$C$5:$C$204=A171)*(Накладные!$D$5:$D$204=B171)*(Накладные!$E$5:$E$204=Справочник!$B$5)*(Накладные!$G$5:$G$204="Приход")*(Накладные!$F$5:$F$204))-SUMPRODUCT((Накладные!$C$5:$C$204=A171)*(Накладные!$D$5:$D$204=B171)*(Накладные!$E$5:$E$204=Справочник!$B$5)*(Накладные!$G$5:$G$204="Расход")*(Накладные!$F$5:$F$204))))</f>
        <v/>
      </c>
      <c r="E171" s="8">
        <f>IF(A171="","",C171+D171)</f>
        <v/>
      </c>
    </row>
    <row r="172">
      <c r="A172" s="7">
        <f>IF(Справочник!A177="","",Справочник!A177)</f>
        <v/>
      </c>
      <c r="B172" s="7">
        <f>IF(Справочник!B177="","",Справочник!B177)</f>
        <v/>
      </c>
      <c r="C172" s="8">
        <f>IF(A172="","",IF(B172="",SUMPRODUCT((Накладные!$C$5:$C$204=A172)*(Накладные!$E$5:$E$204=Справочник!$B$4)*(Накладные!$G$5:$G$204="Приход")*(Накладные!$F$5:$F$204))-SUMPRODUCT((Накладные!$C$5:$C$204=A172)*(Накладные!$E$5:$E$204=Справочник!$B$4)*(Накладные!$G$5:$G$204="Расход")*(Накладные!$F$5:$F$204)),SUMPRODUCT((Накладные!$C$5:$C$204=A172)*(Накладные!$D$5:$D$204=B172)*(Накладные!$E$5:$E$204=Справочник!$B$4)*(Накладные!$G$5:$G$204="Приход")*(Накладные!$F$5:$F$204))-SUMPRODUCT((Накладные!$C$5:$C$204=A172)*(Накладные!$D$5:$D$204=B172)*(Накладные!$E$5:$E$204=Справочник!$B$4)*(Накладные!$G$5:$G$204="Расход")*(Накладные!$F$5:$F$204))))</f>
        <v/>
      </c>
      <c r="D172" s="8">
        <f>IF(A172="","",IF(B172="",SUMPRODUCT((Накладные!$C$5:$C$204=A172)*(Накладные!$E$5:$E$204=Справочник!$B$5)*(Накладные!$G$5:$G$204="Приход")*(Накладные!$F$5:$F$204))-SUMPRODUCT((Накладные!$C$5:$C$204=A172)*(Накладные!$E$5:$E$204=Справочник!$B$5)*(Накладные!$G$5:$G$204="Расход")*(Накладные!$F$5:$F$204)),SUMPRODUCT((Накладные!$C$5:$C$204=A172)*(Накладные!$D$5:$D$204=B172)*(Накладные!$E$5:$E$204=Справочник!$B$5)*(Накладные!$G$5:$G$204="Приход")*(Накладные!$F$5:$F$204))-SUMPRODUCT((Накладные!$C$5:$C$204=A172)*(Накладные!$D$5:$D$204=B172)*(Накладные!$E$5:$E$204=Справочник!$B$5)*(Накладные!$G$5:$G$204="Расход")*(Накладные!$F$5:$F$204))))</f>
        <v/>
      </c>
      <c r="E172" s="8">
        <f>IF(A172="","",C172+D172)</f>
        <v/>
      </c>
    </row>
    <row r="173">
      <c r="A173" s="7">
        <f>IF(Справочник!A178="","",Справочник!A178)</f>
        <v/>
      </c>
      <c r="B173" s="7">
        <f>IF(Справочник!B178="","",Справочник!B178)</f>
        <v/>
      </c>
      <c r="C173" s="8">
        <f>IF(A173="","",IF(B173="",SUMPRODUCT((Накладные!$C$5:$C$204=A173)*(Накладные!$E$5:$E$204=Справочник!$B$4)*(Накладные!$G$5:$G$204="Приход")*(Накладные!$F$5:$F$204))-SUMPRODUCT((Накладные!$C$5:$C$204=A173)*(Накладные!$E$5:$E$204=Справочник!$B$4)*(Накладные!$G$5:$G$204="Расход")*(Накладные!$F$5:$F$204)),SUMPRODUCT((Накладные!$C$5:$C$204=A173)*(Накладные!$D$5:$D$204=B173)*(Накладные!$E$5:$E$204=Справочник!$B$4)*(Накладные!$G$5:$G$204="Приход")*(Накладные!$F$5:$F$204))-SUMPRODUCT((Накладные!$C$5:$C$204=A173)*(Накладные!$D$5:$D$204=B173)*(Накладные!$E$5:$E$204=Справочник!$B$4)*(Накладные!$G$5:$G$204="Расход")*(Накладные!$F$5:$F$204))))</f>
        <v/>
      </c>
      <c r="D173" s="8">
        <f>IF(A173="","",IF(B173="",SUMPRODUCT((Накладные!$C$5:$C$204=A173)*(Накладные!$E$5:$E$204=Справочник!$B$5)*(Накладные!$G$5:$G$204="Приход")*(Накладные!$F$5:$F$204))-SUMPRODUCT((Накладные!$C$5:$C$204=A173)*(Накладные!$E$5:$E$204=Справочник!$B$5)*(Накладные!$G$5:$G$204="Расход")*(Накладные!$F$5:$F$204)),SUMPRODUCT((Накладные!$C$5:$C$204=A173)*(Накладные!$D$5:$D$204=B173)*(Накладные!$E$5:$E$204=Справочник!$B$5)*(Накладные!$G$5:$G$204="Приход")*(Накладные!$F$5:$F$204))-SUMPRODUCT((Накладные!$C$5:$C$204=A173)*(Накладные!$D$5:$D$204=B173)*(Накладные!$E$5:$E$204=Справочник!$B$5)*(Накладные!$G$5:$G$204="Расход")*(Накладные!$F$5:$F$204))))</f>
        <v/>
      </c>
      <c r="E173" s="8">
        <f>IF(A173="","",C173+D173)</f>
        <v/>
      </c>
    </row>
    <row r="174">
      <c r="A174" s="7">
        <f>IF(Справочник!A179="","",Справочник!A179)</f>
        <v/>
      </c>
      <c r="B174" s="7">
        <f>IF(Справочник!B179="","",Справочник!B179)</f>
        <v/>
      </c>
      <c r="C174" s="8">
        <f>IF(A174="","",IF(B174="",SUMPRODUCT((Накладные!$C$5:$C$204=A174)*(Накладные!$E$5:$E$204=Справочник!$B$4)*(Накладные!$G$5:$G$204="Приход")*(Накладные!$F$5:$F$204))-SUMPRODUCT((Накладные!$C$5:$C$204=A174)*(Накладные!$E$5:$E$204=Справочник!$B$4)*(Накладные!$G$5:$G$204="Расход")*(Накладные!$F$5:$F$204)),SUMPRODUCT((Накладные!$C$5:$C$204=A174)*(Накладные!$D$5:$D$204=B174)*(Накладные!$E$5:$E$204=Справочник!$B$4)*(Накладные!$G$5:$G$204="Приход")*(Накладные!$F$5:$F$204))-SUMPRODUCT((Накладные!$C$5:$C$204=A174)*(Накладные!$D$5:$D$204=B174)*(Накладные!$E$5:$E$204=Справочник!$B$4)*(Накладные!$G$5:$G$204="Расход")*(Накладные!$F$5:$F$204))))</f>
        <v/>
      </c>
      <c r="D174" s="8">
        <f>IF(A174="","",IF(B174="",SUMPRODUCT((Накладные!$C$5:$C$204=A174)*(Накладные!$E$5:$E$204=Справочник!$B$5)*(Накладные!$G$5:$G$204="Приход")*(Накладные!$F$5:$F$204))-SUMPRODUCT((Накладные!$C$5:$C$204=A174)*(Накладные!$E$5:$E$204=Справочник!$B$5)*(Накладные!$G$5:$G$204="Расход")*(Накладные!$F$5:$F$204)),SUMPRODUCT((Накладные!$C$5:$C$204=A174)*(Накладные!$D$5:$D$204=B174)*(Накладные!$E$5:$E$204=Справочник!$B$5)*(Накладные!$G$5:$G$204="Приход")*(Накладные!$F$5:$F$204))-SUMPRODUCT((Накладные!$C$5:$C$204=A174)*(Накладные!$D$5:$D$204=B174)*(Накладные!$E$5:$E$204=Справочник!$B$5)*(Накладные!$G$5:$G$204="Расход")*(Накладные!$F$5:$F$204))))</f>
        <v/>
      </c>
      <c r="E174" s="8">
        <f>IF(A174="","",C174+D174)</f>
        <v/>
      </c>
    </row>
    <row r="175">
      <c r="A175" s="7">
        <f>IF(Справочник!A180="","",Справочник!A180)</f>
        <v/>
      </c>
      <c r="B175" s="7">
        <f>IF(Справочник!B180="","",Справочник!B180)</f>
        <v/>
      </c>
      <c r="C175" s="8">
        <f>IF(A175="","",IF(B175="",SUMPRODUCT((Накладные!$C$5:$C$204=A175)*(Накладные!$E$5:$E$204=Справочник!$B$4)*(Накладные!$G$5:$G$204="Приход")*(Накладные!$F$5:$F$204))-SUMPRODUCT((Накладные!$C$5:$C$204=A175)*(Накладные!$E$5:$E$204=Справочник!$B$4)*(Накладные!$G$5:$G$204="Расход")*(Накладные!$F$5:$F$204)),SUMPRODUCT((Накладные!$C$5:$C$204=A175)*(Накладные!$D$5:$D$204=B175)*(Накладные!$E$5:$E$204=Справочник!$B$4)*(Накладные!$G$5:$G$204="Приход")*(Накладные!$F$5:$F$204))-SUMPRODUCT((Накладные!$C$5:$C$204=A175)*(Накладные!$D$5:$D$204=B175)*(Накладные!$E$5:$E$204=Справочник!$B$4)*(Накладные!$G$5:$G$204="Расход")*(Накладные!$F$5:$F$204))))</f>
        <v/>
      </c>
      <c r="D175" s="8">
        <f>IF(A175="","",IF(B175="",SUMPRODUCT((Накладные!$C$5:$C$204=A175)*(Накладные!$E$5:$E$204=Справочник!$B$5)*(Накладные!$G$5:$G$204="Приход")*(Накладные!$F$5:$F$204))-SUMPRODUCT((Накладные!$C$5:$C$204=A175)*(Накладные!$E$5:$E$204=Справочник!$B$5)*(Накладные!$G$5:$G$204="Расход")*(Накладные!$F$5:$F$204)),SUMPRODUCT((Накладные!$C$5:$C$204=A175)*(Накладные!$D$5:$D$204=B175)*(Накладные!$E$5:$E$204=Справочник!$B$5)*(Накладные!$G$5:$G$204="Приход")*(Накладные!$F$5:$F$204))-SUMPRODUCT((Накладные!$C$5:$C$204=A175)*(Накладные!$D$5:$D$204=B175)*(Накладные!$E$5:$E$204=Справочник!$B$5)*(Накладные!$G$5:$G$204="Расход")*(Накладные!$F$5:$F$204))))</f>
        <v/>
      </c>
      <c r="E175" s="8">
        <f>IF(A175="","",C175+D175)</f>
        <v/>
      </c>
    </row>
    <row r="176">
      <c r="A176" s="7">
        <f>IF(Справочник!A181="","",Справочник!A181)</f>
        <v/>
      </c>
      <c r="B176" s="7">
        <f>IF(Справочник!B181="","",Справочник!B181)</f>
        <v/>
      </c>
      <c r="C176" s="8">
        <f>IF(A176="","",IF(B176="",SUMPRODUCT((Накладные!$C$5:$C$204=A176)*(Накладные!$E$5:$E$204=Справочник!$B$4)*(Накладные!$G$5:$G$204="Приход")*(Накладные!$F$5:$F$204))-SUMPRODUCT((Накладные!$C$5:$C$204=A176)*(Накладные!$E$5:$E$204=Справочник!$B$4)*(Накладные!$G$5:$G$204="Расход")*(Накладные!$F$5:$F$204)),SUMPRODUCT((Накладные!$C$5:$C$204=A176)*(Накладные!$D$5:$D$204=B176)*(Накладные!$E$5:$E$204=Справочник!$B$4)*(Накладные!$G$5:$G$204="Приход")*(Накладные!$F$5:$F$204))-SUMPRODUCT((Накладные!$C$5:$C$204=A176)*(Накладные!$D$5:$D$204=B176)*(Накладные!$E$5:$E$204=Справочник!$B$4)*(Накладные!$G$5:$G$204="Расход")*(Накладные!$F$5:$F$204))))</f>
        <v/>
      </c>
      <c r="D176" s="8">
        <f>IF(A176="","",IF(B176="",SUMPRODUCT((Накладные!$C$5:$C$204=A176)*(Накладные!$E$5:$E$204=Справочник!$B$5)*(Накладные!$G$5:$G$204="Приход")*(Накладные!$F$5:$F$204))-SUMPRODUCT((Накладные!$C$5:$C$204=A176)*(Накладные!$E$5:$E$204=Справочник!$B$5)*(Накладные!$G$5:$G$204="Расход")*(Накладные!$F$5:$F$204)),SUMPRODUCT((Накладные!$C$5:$C$204=A176)*(Накладные!$D$5:$D$204=B176)*(Накладные!$E$5:$E$204=Справочник!$B$5)*(Накладные!$G$5:$G$204="Приход")*(Накладные!$F$5:$F$204))-SUMPRODUCT((Накладные!$C$5:$C$204=A176)*(Накладные!$D$5:$D$204=B176)*(Накладные!$E$5:$E$204=Справочник!$B$5)*(Накладные!$G$5:$G$204="Расход")*(Накладные!$F$5:$F$204))))</f>
        <v/>
      </c>
      <c r="E176" s="8">
        <f>IF(A176="","",C176+D176)</f>
        <v/>
      </c>
    </row>
    <row r="177">
      <c r="A177" s="7">
        <f>IF(Справочник!A182="","",Справочник!A182)</f>
        <v/>
      </c>
      <c r="B177" s="7">
        <f>IF(Справочник!B182="","",Справочник!B182)</f>
        <v/>
      </c>
      <c r="C177" s="8">
        <f>IF(A177="","",IF(B177="",SUMPRODUCT((Накладные!$C$5:$C$204=A177)*(Накладные!$E$5:$E$204=Справочник!$B$4)*(Накладные!$G$5:$G$204="Приход")*(Накладные!$F$5:$F$204))-SUMPRODUCT((Накладные!$C$5:$C$204=A177)*(Накладные!$E$5:$E$204=Справочник!$B$4)*(Накладные!$G$5:$G$204="Расход")*(Накладные!$F$5:$F$204)),SUMPRODUCT((Накладные!$C$5:$C$204=A177)*(Накладные!$D$5:$D$204=B177)*(Накладные!$E$5:$E$204=Справочник!$B$4)*(Накладные!$G$5:$G$204="Приход")*(Накладные!$F$5:$F$204))-SUMPRODUCT((Накладные!$C$5:$C$204=A177)*(Накладные!$D$5:$D$204=B177)*(Накладные!$E$5:$E$204=Справочник!$B$4)*(Накладные!$G$5:$G$204="Расход")*(Накладные!$F$5:$F$204))))</f>
        <v/>
      </c>
      <c r="D177" s="8">
        <f>IF(A177="","",IF(B177="",SUMPRODUCT((Накладные!$C$5:$C$204=A177)*(Накладные!$E$5:$E$204=Справочник!$B$5)*(Накладные!$G$5:$G$204="Приход")*(Накладные!$F$5:$F$204))-SUMPRODUCT((Накладные!$C$5:$C$204=A177)*(Накладные!$E$5:$E$204=Справочник!$B$5)*(Накладные!$G$5:$G$204="Расход")*(Накладные!$F$5:$F$204)),SUMPRODUCT((Накладные!$C$5:$C$204=A177)*(Накладные!$D$5:$D$204=B177)*(Накладные!$E$5:$E$204=Справочник!$B$5)*(Накладные!$G$5:$G$204="Приход")*(Накладные!$F$5:$F$204))-SUMPRODUCT((Накладные!$C$5:$C$204=A177)*(Накладные!$D$5:$D$204=B177)*(Накладные!$E$5:$E$204=Справочник!$B$5)*(Накладные!$G$5:$G$204="Расход")*(Накладные!$F$5:$F$204))))</f>
        <v/>
      </c>
      <c r="E177" s="8">
        <f>IF(A177="","",C177+D177)</f>
        <v/>
      </c>
    </row>
    <row r="178">
      <c r="A178" s="7">
        <f>IF(Справочник!A183="","",Справочник!A183)</f>
        <v/>
      </c>
      <c r="B178" s="7">
        <f>IF(Справочник!B183="","",Справочник!B183)</f>
        <v/>
      </c>
      <c r="C178" s="8">
        <f>IF(A178="","",IF(B178="",SUMPRODUCT((Накладные!$C$5:$C$204=A178)*(Накладные!$E$5:$E$204=Справочник!$B$4)*(Накладные!$G$5:$G$204="Приход")*(Накладные!$F$5:$F$204))-SUMPRODUCT((Накладные!$C$5:$C$204=A178)*(Накладные!$E$5:$E$204=Справочник!$B$4)*(Накладные!$G$5:$G$204="Расход")*(Накладные!$F$5:$F$204)),SUMPRODUCT((Накладные!$C$5:$C$204=A178)*(Накладные!$D$5:$D$204=B178)*(Накладные!$E$5:$E$204=Справочник!$B$4)*(Накладные!$G$5:$G$204="Приход")*(Накладные!$F$5:$F$204))-SUMPRODUCT((Накладные!$C$5:$C$204=A178)*(Накладные!$D$5:$D$204=B178)*(Накладные!$E$5:$E$204=Справочник!$B$4)*(Накладные!$G$5:$G$204="Расход")*(Накладные!$F$5:$F$204))))</f>
        <v/>
      </c>
      <c r="D178" s="8">
        <f>IF(A178="","",IF(B178="",SUMPRODUCT((Накладные!$C$5:$C$204=A178)*(Накладные!$E$5:$E$204=Справочник!$B$5)*(Накладные!$G$5:$G$204="Приход")*(Накладные!$F$5:$F$204))-SUMPRODUCT((Накладные!$C$5:$C$204=A178)*(Накладные!$E$5:$E$204=Справочник!$B$5)*(Накладные!$G$5:$G$204="Расход")*(Накладные!$F$5:$F$204)),SUMPRODUCT((Накладные!$C$5:$C$204=A178)*(Накладные!$D$5:$D$204=B178)*(Накладные!$E$5:$E$204=Справочник!$B$5)*(Накладные!$G$5:$G$204="Приход")*(Накладные!$F$5:$F$204))-SUMPRODUCT((Накладные!$C$5:$C$204=A178)*(Накладные!$D$5:$D$204=B178)*(Накладные!$E$5:$E$204=Справочник!$B$5)*(Накладные!$G$5:$G$204="Расход")*(Накладные!$F$5:$F$204))))</f>
        <v/>
      </c>
      <c r="E178" s="8">
        <f>IF(A178="","",C178+D178)</f>
        <v/>
      </c>
    </row>
    <row r="179">
      <c r="A179" s="7">
        <f>IF(Справочник!A184="","",Справочник!A184)</f>
        <v/>
      </c>
      <c r="B179" s="7">
        <f>IF(Справочник!B184="","",Справочник!B184)</f>
        <v/>
      </c>
      <c r="C179" s="8">
        <f>IF(A179="","",IF(B179="",SUMPRODUCT((Накладные!$C$5:$C$204=A179)*(Накладные!$E$5:$E$204=Справочник!$B$4)*(Накладные!$G$5:$G$204="Приход")*(Накладные!$F$5:$F$204))-SUMPRODUCT((Накладные!$C$5:$C$204=A179)*(Накладные!$E$5:$E$204=Справочник!$B$4)*(Накладные!$G$5:$G$204="Расход")*(Накладные!$F$5:$F$204)),SUMPRODUCT((Накладные!$C$5:$C$204=A179)*(Накладные!$D$5:$D$204=B179)*(Накладные!$E$5:$E$204=Справочник!$B$4)*(Накладные!$G$5:$G$204="Приход")*(Накладные!$F$5:$F$204))-SUMPRODUCT((Накладные!$C$5:$C$204=A179)*(Накладные!$D$5:$D$204=B179)*(Накладные!$E$5:$E$204=Справочник!$B$4)*(Накладные!$G$5:$G$204="Расход")*(Накладные!$F$5:$F$204))))</f>
        <v/>
      </c>
      <c r="D179" s="8">
        <f>IF(A179="","",IF(B179="",SUMPRODUCT((Накладные!$C$5:$C$204=A179)*(Накладные!$E$5:$E$204=Справочник!$B$5)*(Накладные!$G$5:$G$204="Приход")*(Накладные!$F$5:$F$204))-SUMPRODUCT((Накладные!$C$5:$C$204=A179)*(Накладные!$E$5:$E$204=Справочник!$B$5)*(Накладные!$G$5:$G$204="Расход")*(Накладные!$F$5:$F$204)),SUMPRODUCT((Накладные!$C$5:$C$204=A179)*(Накладные!$D$5:$D$204=B179)*(Накладные!$E$5:$E$204=Справочник!$B$5)*(Накладные!$G$5:$G$204="Приход")*(Накладные!$F$5:$F$204))-SUMPRODUCT((Накладные!$C$5:$C$204=A179)*(Накладные!$D$5:$D$204=B179)*(Накладные!$E$5:$E$204=Справочник!$B$5)*(Накладные!$G$5:$G$204="Расход")*(Накладные!$F$5:$F$204))))</f>
        <v/>
      </c>
      <c r="E179" s="8">
        <f>IF(A179="","",C179+D179)</f>
        <v/>
      </c>
    </row>
    <row r="180">
      <c r="A180" s="7">
        <f>IF(Справочник!A185="","",Справочник!A185)</f>
        <v/>
      </c>
      <c r="B180" s="7">
        <f>IF(Справочник!B185="","",Справочник!B185)</f>
        <v/>
      </c>
      <c r="C180" s="8">
        <f>IF(A180="","",IF(B180="",SUMPRODUCT((Накладные!$C$5:$C$204=A180)*(Накладные!$E$5:$E$204=Справочник!$B$4)*(Накладные!$G$5:$G$204="Приход")*(Накладные!$F$5:$F$204))-SUMPRODUCT((Накладные!$C$5:$C$204=A180)*(Накладные!$E$5:$E$204=Справочник!$B$4)*(Накладные!$G$5:$G$204="Расход")*(Накладные!$F$5:$F$204)),SUMPRODUCT((Накладные!$C$5:$C$204=A180)*(Накладные!$D$5:$D$204=B180)*(Накладные!$E$5:$E$204=Справочник!$B$4)*(Накладные!$G$5:$G$204="Приход")*(Накладные!$F$5:$F$204))-SUMPRODUCT((Накладные!$C$5:$C$204=A180)*(Накладные!$D$5:$D$204=B180)*(Накладные!$E$5:$E$204=Справочник!$B$4)*(Накладные!$G$5:$G$204="Расход")*(Накладные!$F$5:$F$204))))</f>
        <v/>
      </c>
      <c r="D180" s="8">
        <f>IF(A180="","",IF(B180="",SUMPRODUCT((Накладные!$C$5:$C$204=A180)*(Накладные!$E$5:$E$204=Справочник!$B$5)*(Накладные!$G$5:$G$204="Приход")*(Накладные!$F$5:$F$204))-SUMPRODUCT((Накладные!$C$5:$C$204=A180)*(Накладные!$E$5:$E$204=Справочник!$B$5)*(Накладные!$G$5:$G$204="Расход")*(Накладные!$F$5:$F$204)),SUMPRODUCT((Накладные!$C$5:$C$204=A180)*(Накладные!$D$5:$D$204=B180)*(Накладные!$E$5:$E$204=Справочник!$B$5)*(Накладные!$G$5:$G$204="Приход")*(Накладные!$F$5:$F$204))-SUMPRODUCT((Накладные!$C$5:$C$204=A180)*(Накладные!$D$5:$D$204=B180)*(Накладные!$E$5:$E$204=Справочник!$B$5)*(Накладные!$G$5:$G$204="Расход")*(Накладные!$F$5:$F$204))))</f>
        <v/>
      </c>
      <c r="E180" s="8">
        <f>IF(A180="","",C180+D180)</f>
        <v/>
      </c>
    </row>
    <row r="181">
      <c r="A181" s="7">
        <f>IF(Справочник!A186="","",Справочник!A186)</f>
        <v/>
      </c>
      <c r="B181" s="7">
        <f>IF(Справочник!B186="","",Справочник!B186)</f>
        <v/>
      </c>
      <c r="C181" s="8">
        <f>IF(A181="","",IF(B181="",SUMPRODUCT((Накладные!$C$5:$C$204=A181)*(Накладные!$E$5:$E$204=Справочник!$B$4)*(Накладные!$G$5:$G$204="Приход")*(Накладные!$F$5:$F$204))-SUMPRODUCT((Накладные!$C$5:$C$204=A181)*(Накладные!$E$5:$E$204=Справочник!$B$4)*(Накладные!$G$5:$G$204="Расход")*(Накладные!$F$5:$F$204)),SUMPRODUCT((Накладные!$C$5:$C$204=A181)*(Накладные!$D$5:$D$204=B181)*(Накладные!$E$5:$E$204=Справочник!$B$4)*(Накладные!$G$5:$G$204="Приход")*(Накладные!$F$5:$F$204))-SUMPRODUCT((Накладные!$C$5:$C$204=A181)*(Накладные!$D$5:$D$204=B181)*(Накладные!$E$5:$E$204=Справочник!$B$4)*(Накладные!$G$5:$G$204="Расход")*(Накладные!$F$5:$F$204))))</f>
        <v/>
      </c>
      <c r="D181" s="8">
        <f>IF(A181="","",IF(B181="",SUMPRODUCT((Накладные!$C$5:$C$204=A181)*(Накладные!$E$5:$E$204=Справочник!$B$5)*(Накладные!$G$5:$G$204="Приход")*(Накладные!$F$5:$F$204))-SUMPRODUCT((Накладные!$C$5:$C$204=A181)*(Накладные!$E$5:$E$204=Справочник!$B$5)*(Накладные!$G$5:$G$204="Расход")*(Накладные!$F$5:$F$204)),SUMPRODUCT((Накладные!$C$5:$C$204=A181)*(Накладные!$D$5:$D$204=B181)*(Накладные!$E$5:$E$204=Справочник!$B$5)*(Накладные!$G$5:$G$204="Приход")*(Накладные!$F$5:$F$204))-SUMPRODUCT((Накладные!$C$5:$C$204=A181)*(Накладные!$D$5:$D$204=B181)*(Накладные!$E$5:$E$204=Справочник!$B$5)*(Накладные!$G$5:$G$204="Расход")*(Накладные!$F$5:$F$204))))</f>
        <v/>
      </c>
      <c r="E181" s="8">
        <f>IF(A181="","",C181+D181)</f>
        <v/>
      </c>
    </row>
    <row r="182">
      <c r="A182" s="7">
        <f>IF(Справочник!A187="","",Справочник!A187)</f>
        <v/>
      </c>
      <c r="B182" s="7">
        <f>IF(Справочник!B187="","",Справочник!B187)</f>
        <v/>
      </c>
      <c r="C182" s="8">
        <f>IF(A182="","",IF(B182="",SUMPRODUCT((Накладные!$C$5:$C$204=A182)*(Накладные!$E$5:$E$204=Справочник!$B$4)*(Накладные!$G$5:$G$204="Приход")*(Накладные!$F$5:$F$204))-SUMPRODUCT((Накладные!$C$5:$C$204=A182)*(Накладные!$E$5:$E$204=Справочник!$B$4)*(Накладные!$G$5:$G$204="Расход")*(Накладные!$F$5:$F$204)),SUMPRODUCT((Накладные!$C$5:$C$204=A182)*(Накладные!$D$5:$D$204=B182)*(Накладные!$E$5:$E$204=Справочник!$B$4)*(Накладные!$G$5:$G$204="Приход")*(Накладные!$F$5:$F$204))-SUMPRODUCT((Накладные!$C$5:$C$204=A182)*(Накладные!$D$5:$D$204=B182)*(Накладные!$E$5:$E$204=Справочник!$B$4)*(Накладные!$G$5:$G$204="Расход")*(Накладные!$F$5:$F$204))))</f>
        <v/>
      </c>
      <c r="D182" s="8">
        <f>IF(A182="","",IF(B182="",SUMPRODUCT((Накладные!$C$5:$C$204=A182)*(Накладные!$E$5:$E$204=Справочник!$B$5)*(Накладные!$G$5:$G$204="Приход")*(Накладные!$F$5:$F$204))-SUMPRODUCT((Накладные!$C$5:$C$204=A182)*(Накладные!$E$5:$E$204=Справочник!$B$5)*(Накладные!$G$5:$G$204="Расход")*(Накладные!$F$5:$F$204)),SUMPRODUCT((Накладные!$C$5:$C$204=A182)*(Накладные!$D$5:$D$204=B182)*(Накладные!$E$5:$E$204=Справочник!$B$5)*(Накладные!$G$5:$G$204="Приход")*(Накладные!$F$5:$F$204))-SUMPRODUCT((Накладные!$C$5:$C$204=A182)*(Накладные!$D$5:$D$204=B182)*(Накладные!$E$5:$E$204=Справочник!$B$5)*(Накладные!$G$5:$G$204="Расход")*(Накладные!$F$5:$F$204))))</f>
        <v/>
      </c>
      <c r="E182" s="8">
        <f>IF(A182="","",C182+D182)</f>
        <v/>
      </c>
    </row>
    <row r="183">
      <c r="A183" s="7">
        <f>IF(Справочник!A188="","",Справочник!A188)</f>
        <v/>
      </c>
      <c r="B183" s="7">
        <f>IF(Справочник!B188="","",Справочник!B188)</f>
        <v/>
      </c>
      <c r="C183" s="8">
        <f>IF(A183="","",IF(B183="",SUMPRODUCT((Накладные!$C$5:$C$204=A183)*(Накладные!$E$5:$E$204=Справочник!$B$4)*(Накладные!$G$5:$G$204="Приход")*(Накладные!$F$5:$F$204))-SUMPRODUCT((Накладные!$C$5:$C$204=A183)*(Накладные!$E$5:$E$204=Справочник!$B$4)*(Накладные!$G$5:$G$204="Расход")*(Накладные!$F$5:$F$204)),SUMPRODUCT((Накладные!$C$5:$C$204=A183)*(Накладные!$D$5:$D$204=B183)*(Накладные!$E$5:$E$204=Справочник!$B$4)*(Накладные!$G$5:$G$204="Приход")*(Накладные!$F$5:$F$204))-SUMPRODUCT((Накладные!$C$5:$C$204=A183)*(Накладные!$D$5:$D$204=B183)*(Накладные!$E$5:$E$204=Справочник!$B$4)*(Накладные!$G$5:$G$204="Расход")*(Накладные!$F$5:$F$204))))</f>
        <v/>
      </c>
      <c r="D183" s="8">
        <f>IF(A183="","",IF(B183="",SUMPRODUCT((Накладные!$C$5:$C$204=A183)*(Накладные!$E$5:$E$204=Справочник!$B$5)*(Накладные!$G$5:$G$204="Приход")*(Накладные!$F$5:$F$204))-SUMPRODUCT((Накладные!$C$5:$C$204=A183)*(Накладные!$E$5:$E$204=Справочник!$B$5)*(Накладные!$G$5:$G$204="Расход")*(Накладные!$F$5:$F$204)),SUMPRODUCT((Накладные!$C$5:$C$204=A183)*(Накладные!$D$5:$D$204=B183)*(Накладные!$E$5:$E$204=Справочник!$B$5)*(Накладные!$G$5:$G$204="Приход")*(Накладные!$F$5:$F$204))-SUMPRODUCT((Накладные!$C$5:$C$204=A183)*(Накладные!$D$5:$D$204=B183)*(Накладные!$E$5:$E$204=Справочник!$B$5)*(Накладные!$G$5:$G$204="Расход")*(Накладные!$F$5:$F$204))))</f>
        <v/>
      </c>
      <c r="E183" s="8">
        <f>IF(A183="","",C183+D183)</f>
        <v/>
      </c>
    </row>
    <row r="184">
      <c r="A184" s="7">
        <f>IF(Справочник!A189="","",Справочник!A189)</f>
        <v/>
      </c>
      <c r="B184" s="7">
        <f>IF(Справочник!B189="","",Справочник!B189)</f>
        <v/>
      </c>
      <c r="C184" s="8">
        <f>IF(A184="","",IF(B184="",SUMPRODUCT((Накладные!$C$5:$C$204=A184)*(Накладные!$E$5:$E$204=Справочник!$B$4)*(Накладные!$G$5:$G$204="Приход")*(Накладные!$F$5:$F$204))-SUMPRODUCT((Накладные!$C$5:$C$204=A184)*(Накладные!$E$5:$E$204=Справочник!$B$4)*(Накладные!$G$5:$G$204="Расход")*(Накладные!$F$5:$F$204)),SUMPRODUCT((Накладные!$C$5:$C$204=A184)*(Накладные!$D$5:$D$204=B184)*(Накладные!$E$5:$E$204=Справочник!$B$4)*(Накладные!$G$5:$G$204="Приход")*(Накладные!$F$5:$F$204))-SUMPRODUCT((Накладные!$C$5:$C$204=A184)*(Накладные!$D$5:$D$204=B184)*(Накладные!$E$5:$E$204=Справочник!$B$4)*(Накладные!$G$5:$G$204="Расход")*(Накладные!$F$5:$F$204))))</f>
        <v/>
      </c>
      <c r="D184" s="8">
        <f>IF(A184="","",IF(B184="",SUMPRODUCT((Накладные!$C$5:$C$204=A184)*(Накладные!$E$5:$E$204=Справочник!$B$5)*(Накладные!$G$5:$G$204="Приход")*(Накладные!$F$5:$F$204))-SUMPRODUCT((Накладные!$C$5:$C$204=A184)*(Накладные!$E$5:$E$204=Справочник!$B$5)*(Накладные!$G$5:$G$204="Расход")*(Накладные!$F$5:$F$204)),SUMPRODUCT((Накладные!$C$5:$C$204=A184)*(Накладные!$D$5:$D$204=B184)*(Накладные!$E$5:$E$204=Справочник!$B$5)*(Накладные!$G$5:$G$204="Приход")*(Накладные!$F$5:$F$204))-SUMPRODUCT((Накладные!$C$5:$C$204=A184)*(Накладные!$D$5:$D$204=B184)*(Накладные!$E$5:$E$204=Справочник!$B$5)*(Накладные!$G$5:$G$204="Расход")*(Накладные!$F$5:$F$204))))</f>
        <v/>
      </c>
      <c r="E184" s="8">
        <f>IF(A184="","",C184+D184)</f>
        <v/>
      </c>
    </row>
    <row r="185">
      <c r="A185" s="7">
        <f>IF(Справочник!A190="","",Справочник!A190)</f>
        <v/>
      </c>
      <c r="B185" s="7">
        <f>IF(Справочник!B190="","",Справочник!B190)</f>
        <v/>
      </c>
      <c r="C185" s="8">
        <f>IF(A185="","",IF(B185="",SUMPRODUCT((Накладные!$C$5:$C$204=A185)*(Накладные!$E$5:$E$204=Справочник!$B$4)*(Накладные!$G$5:$G$204="Приход")*(Накладные!$F$5:$F$204))-SUMPRODUCT((Накладные!$C$5:$C$204=A185)*(Накладные!$E$5:$E$204=Справочник!$B$4)*(Накладные!$G$5:$G$204="Расход")*(Накладные!$F$5:$F$204)),SUMPRODUCT((Накладные!$C$5:$C$204=A185)*(Накладные!$D$5:$D$204=B185)*(Накладные!$E$5:$E$204=Справочник!$B$4)*(Накладные!$G$5:$G$204="Приход")*(Накладные!$F$5:$F$204))-SUMPRODUCT((Накладные!$C$5:$C$204=A185)*(Накладные!$D$5:$D$204=B185)*(Накладные!$E$5:$E$204=Справочник!$B$4)*(Накладные!$G$5:$G$204="Расход")*(Накладные!$F$5:$F$204))))</f>
        <v/>
      </c>
      <c r="D185" s="8">
        <f>IF(A185="","",IF(B185="",SUMPRODUCT((Накладные!$C$5:$C$204=A185)*(Накладные!$E$5:$E$204=Справочник!$B$5)*(Накладные!$G$5:$G$204="Приход")*(Накладные!$F$5:$F$204))-SUMPRODUCT((Накладные!$C$5:$C$204=A185)*(Накладные!$E$5:$E$204=Справочник!$B$5)*(Накладные!$G$5:$G$204="Расход")*(Накладные!$F$5:$F$204)),SUMPRODUCT((Накладные!$C$5:$C$204=A185)*(Накладные!$D$5:$D$204=B185)*(Накладные!$E$5:$E$204=Справочник!$B$5)*(Накладные!$G$5:$G$204="Приход")*(Накладные!$F$5:$F$204))-SUMPRODUCT((Накладные!$C$5:$C$204=A185)*(Накладные!$D$5:$D$204=B185)*(Накладные!$E$5:$E$204=Справочник!$B$5)*(Накладные!$G$5:$G$204="Расход")*(Накладные!$F$5:$F$204))))</f>
        <v/>
      </c>
      <c r="E185" s="8">
        <f>IF(A185="","",C185+D185)</f>
        <v/>
      </c>
    </row>
    <row r="186">
      <c r="A186" s="7">
        <f>IF(Справочник!A191="","",Справочник!A191)</f>
        <v/>
      </c>
      <c r="B186" s="7">
        <f>IF(Справочник!B191="","",Справочник!B191)</f>
        <v/>
      </c>
      <c r="C186" s="8">
        <f>IF(A186="","",IF(B186="",SUMPRODUCT((Накладные!$C$5:$C$204=A186)*(Накладные!$E$5:$E$204=Справочник!$B$4)*(Накладные!$G$5:$G$204="Приход")*(Накладные!$F$5:$F$204))-SUMPRODUCT((Накладные!$C$5:$C$204=A186)*(Накладные!$E$5:$E$204=Справочник!$B$4)*(Накладные!$G$5:$G$204="Расход")*(Накладные!$F$5:$F$204)),SUMPRODUCT((Накладные!$C$5:$C$204=A186)*(Накладные!$D$5:$D$204=B186)*(Накладные!$E$5:$E$204=Справочник!$B$4)*(Накладные!$G$5:$G$204="Приход")*(Накладные!$F$5:$F$204))-SUMPRODUCT((Накладные!$C$5:$C$204=A186)*(Накладные!$D$5:$D$204=B186)*(Накладные!$E$5:$E$204=Справочник!$B$4)*(Накладные!$G$5:$G$204="Расход")*(Накладные!$F$5:$F$204))))</f>
        <v/>
      </c>
      <c r="D186" s="8">
        <f>IF(A186="","",IF(B186="",SUMPRODUCT((Накладные!$C$5:$C$204=A186)*(Накладные!$E$5:$E$204=Справочник!$B$5)*(Накладные!$G$5:$G$204="Приход")*(Накладные!$F$5:$F$204))-SUMPRODUCT((Накладные!$C$5:$C$204=A186)*(Накладные!$E$5:$E$204=Справочник!$B$5)*(Накладные!$G$5:$G$204="Расход")*(Накладные!$F$5:$F$204)),SUMPRODUCT((Накладные!$C$5:$C$204=A186)*(Накладные!$D$5:$D$204=B186)*(Накладные!$E$5:$E$204=Справочник!$B$5)*(Накладные!$G$5:$G$204="Приход")*(Накладные!$F$5:$F$204))-SUMPRODUCT((Накладные!$C$5:$C$204=A186)*(Накладные!$D$5:$D$204=B186)*(Накладные!$E$5:$E$204=Справочник!$B$5)*(Накладные!$G$5:$G$204="Расход")*(Накладные!$F$5:$F$204))))</f>
        <v/>
      </c>
      <c r="E186" s="8">
        <f>IF(A186="","",C186+D186)</f>
        <v/>
      </c>
    </row>
    <row r="187">
      <c r="A187" s="7">
        <f>IF(Справочник!A192="","",Справочник!A192)</f>
        <v/>
      </c>
      <c r="B187" s="7">
        <f>IF(Справочник!B192="","",Справочник!B192)</f>
        <v/>
      </c>
      <c r="C187" s="8">
        <f>IF(A187="","",IF(B187="",SUMPRODUCT((Накладные!$C$5:$C$204=A187)*(Накладные!$E$5:$E$204=Справочник!$B$4)*(Накладные!$G$5:$G$204="Приход")*(Накладные!$F$5:$F$204))-SUMPRODUCT((Накладные!$C$5:$C$204=A187)*(Накладные!$E$5:$E$204=Справочник!$B$4)*(Накладные!$G$5:$G$204="Расход")*(Накладные!$F$5:$F$204)),SUMPRODUCT((Накладные!$C$5:$C$204=A187)*(Накладные!$D$5:$D$204=B187)*(Накладные!$E$5:$E$204=Справочник!$B$4)*(Накладные!$G$5:$G$204="Приход")*(Накладные!$F$5:$F$204))-SUMPRODUCT((Накладные!$C$5:$C$204=A187)*(Накладные!$D$5:$D$204=B187)*(Накладные!$E$5:$E$204=Справочник!$B$4)*(Накладные!$G$5:$G$204="Расход")*(Накладные!$F$5:$F$204))))</f>
        <v/>
      </c>
      <c r="D187" s="8">
        <f>IF(A187="","",IF(B187="",SUMPRODUCT((Накладные!$C$5:$C$204=A187)*(Накладные!$E$5:$E$204=Справочник!$B$5)*(Накладные!$G$5:$G$204="Приход")*(Накладные!$F$5:$F$204))-SUMPRODUCT((Накладные!$C$5:$C$204=A187)*(Накладные!$E$5:$E$204=Справочник!$B$5)*(Накладные!$G$5:$G$204="Расход")*(Накладные!$F$5:$F$204)),SUMPRODUCT((Накладные!$C$5:$C$204=A187)*(Накладные!$D$5:$D$204=B187)*(Накладные!$E$5:$E$204=Справочник!$B$5)*(Накладные!$G$5:$G$204="Приход")*(Накладные!$F$5:$F$204))-SUMPRODUCT((Накладные!$C$5:$C$204=A187)*(Накладные!$D$5:$D$204=B187)*(Накладные!$E$5:$E$204=Справочник!$B$5)*(Накладные!$G$5:$G$204="Расход")*(Накладные!$F$5:$F$204))))</f>
        <v/>
      </c>
      <c r="E187" s="8">
        <f>IF(A187="","",C187+D187)</f>
        <v/>
      </c>
    </row>
    <row r="188">
      <c r="A188" s="7">
        <f>IF(Справочник!A193="","",Справочник!A193)</f>
        <v/>
      </c>
      <c r="B188" s="7">
        <f>IF(Справочник!B193="","",Справочник!B193)</f>
        <v/>
      </c>
      <c r="C188" s="8">
        <f>IF(A188="","",IF(B188="",SUMPRODUCT((Накладные!$C$5:$C$204=A188)*(Накладные!$E$5:$E$204=Справочник!$B$4)*(Накладные!$G$5:$G$204="Приход")*(Накладные!$F$5:$F$204))-SUMPRODUCT((Накладные!$C$5:$C$204=A188)*(Накладные!$E$5:$E$204=Справочник!$B$4)*(Накладные!$G$5:$G$204="Расход")*(Накладные!$F$5:$F$204)),SUMPRODUCT((Накладные!$C$5:$C$204=A188)*(Накладные!$D$5:$D$204=B188)*(Накладные!$E$5:$E$204=Справочник!$B$4)*(Накладные!$G$5:$G$204="Приход")*(Накладные!$F$5:$F$204))-SUMPRODUCT((Накладные!$C$5:$C$204=A188)*(Накладные!$D$5:$D$204=B188)*(Накладные!$E$5:$E$204=Справочник!$B$4)*(Накладные!$G$5:$G$204="Расход")*(Накладные!$F$5:$F$204))))</f>
        <v/>
      </c>
      <c r="D188" s="8">
        <f>IF(A188="","",IF(B188="",SUMPRODUCT((Накладные!$C$5:$C$204=A188)*(Накладные!$E$5:$E$204=Справочник!$B$5)*(Накладные!$G$5:$G$204="Приход")*(Накладные!$F$5:$F$204))-SUMPRODUCT((Накладные!$C$5:$C$204=A188)*(Накладные!$E$5:$E$204=Справочник!$B$5)*(Накладные!$G$5:$G$204="Расход")*(Накладные!$F$5:$F$204)),SUMPRODUCT((Накладные!$C$5:$C$204=A188)*(Накладные!$D$5:$D$204=B188)*(Накладные!$E$5:$E$204=Справочник!$B$5)*(Накладные!$G$5:$G$204="Приход")*(Накладные!$F$5:$F$204))-SUMPRODUCT((Накладные!$C$5:$C$204=A188)*(Накладные!$D$5:$D$204=B188)*(Накладные!$E$5:$E$204=Справочник!$B$5)*(Накладные!$G$5:$G$204="Расход")*(Накладные!$F$5:$F$204))))</f>
        <v/>
      </c>
      <c r="E188" s="8">
        <f>IF(A188="","",C188+D188)</f>
        <v/>
      </c>
    </row>
    <row r="189">
      <c r="A189" s="7">
        <f>IF(Справочник!A194="","",Справочник!A194)</f>
        <v/>
      </c>
      <c r="B189" s="7">
        <f>IF(Справочник!B194="","",Справочник!B194)</f>
        <v/>
      </c>
      <c r="C189" s="8">
        <f>IF(A189="","",IF(B189="",SUMPRODUCT((Накладные!$C$5:$C$204=A189)*(Накладные!$E$5:$E$204=Справочник!$B$4)*(Накладные!$G$5:$G$204="Приход")*(Накладные!$F$5:$F$204))-SUMPRODUCT((Накладные!$C$5:$C$204=A189)*(Накладные!$E$5:$E$204=Справочник!$B$4)*(Накладные!$G$5:$G$204="Расход")*(Накладные!$F$5:$F$204)),SUMPRODUCT((Накладные!$C$5:$C$204=A189)*(Накладные!$D$5:$D$204=B189)*(Накладные!$E$5:$E$204=Справочник!$B$4)*(Накладные!$G$5:$G$204="Приход")*(Накладные!$F$5:$F$204))-SUMPRODUCT((Накладные!$C$5:$C$204=A189)*(Накладные!$D$5:$D$204=B189)*(Накладные!$E$5:$E$204=Справочник!$B$4)*(Накладные!$G$5:$G$204="Расход")*(Накладные!$F$5:$F$204))))</f>
        <v/>
      </c>
      <c r="D189" s="8">
        <f>IF(A189="","",IF(B189="",SUMPRODUCT((Накладные!$C$5:$C$204=A189)*(Накладные!$E$5:$E$204=Справочник!$B$5)*(Накладные!$G$5:$G$204="Приход")*(Накладные!$F$5:$F$204))-SUMPRODUCT((Накладные!$C$5:$C$204=A189)*(Накладные!$E$5:$E$204=Справочник!$B$5)*(Накладные!$G$5:$G$204="Расход")*(Накладные!$F$5:$F$204)),SUMPRODUCT((Накладные!$C$5:$C$204=A189)*(Накладные!$D$5:$D$204=B189)*(Накладные!$E$5:$E$204=Справочник!$B$5)*(Накладные!$G$5:$G$204="Приход")*(Накладные!$F$5:$F$204))-SUMPRODUCT((Накладные!$C$5:$C$204=A189)*(Накладные!$D$5:$D$204=B189)*(Накладные!$E$5:$E$204=Справочник!$B$5)*(Накладные!$G$5:$G$204="Расход")*(Накладные!$F$5:$F$204))))</f>
        <v/>
      </c>
      <c r="E189" s="8">
        <f>IF(A189="","",C189+D189)</f>
        <v/>
      </c>
    </row>
    <row r="190">
      <c r="A190" s="7">
        <f>IF(Справочник!A195="","",Справочник!A195)</f>
        <v/>
      </c>
      <c r="B190" s="7">
        <f>IF(Справочник!B195="","",Справочник!B195)</f>
        <v/>
      </c>
      <c r="C190" s="8">
        <f>IF(A190="","",IF(B190="",SUMPRODUCT((Накладные!$C$5:$C$204=A190)*(Накладные!$E$5:$E$204=Справочник!$B$4)*(Накладные!$G$5:$G$204="Приход")*(Накладные!$F$5:$F$204))-SUMPRODUCT((Накладные!$C$5:$C$204=A190)*(Накладные!$E$5:$E$204=Справочник!$B$4)*(Накладные!$G$5:$G$204="Расход")*(Накладные!$F$5:$F$204)),SUMPRODUCT((Накладные!$C$5:$C$204=A190)*(Накладные!$D$5:$D$204=B190)*(Накладные!$E$5:$E$204=Справочник!$B$4)*(Накладные!$G$5:$G$204="Приход")*(Накладные!$F$5:$F$204))-SUMPRODUCT((Накладные!$C$5:$C$204=A190)*(Накладные!$D$5:$D$204=B190)*(Накладные!$E$5:$E$204=Справочник!$B$4)*(Накладные!$G$5:$G$204="Расход")*(Накладные!$F$5:$F$204))))</f>
        <v/>
      </c>
      <c r="D190" s="8">
        <f>IF(A190="","",IF(B190="",SUMPRODUCT((Накладные!$C$5:$C$204=A190)*(Накладные!$E$5:$E$204=Справочник!$B$5)*(Накладные!$G$5:$G$204="Приход")*(Накладные!$F$5:$F$204))-SUMPRODUCT((Накладные!$C$5:$C$204=A190)*(Накладные!$E$5:$E$204=Справочник!$B$5)*(Накладные!$G$5:$G$204="Расход")*(Накладные!$F$5:$F$204)),SUMPRODUCT((Накладные!$C$5:$C$204=A190)*(Накладные!$D$5:$D$204=B190)*(Накладные!$E$5:$E$204=Справочник!$B$5)*(Накладные!$G$5:$G$204="Приход")*(Накладные!$F$5:$F$204))-SUMPRODUCT((Накладные!$C$5:$C$204=A190)*(Накладные!$D$5:$D$204=B190)*(Накладные!$E$5:$E$204=Справочник!$B$5)*(Накладные!$G$5:$G$204="Расход")*(Накладные!$F$5:$F$204))))</f>
        <v/>
      </c>
      <c r="E190" s="8">
        <f>IF(A190="","",C190+D190)</f>
        <v/>
      </c>
    </row>
    <row r="191">
      <c r="A191" s="7">
        <f>IF(Справочник!A196="","",Справочник!A196)</f>
        <v/>
      </c>
      <c r="B191" s="7">
        <f>IF(Справочник!B196="","",Справочник!B196)</f>
        <v/>
      </c>
      <c r="C191" s="8">
        <f>IF(A191="","",IF(B191="",SUMPRODUCT((Накладные!$C$5:$C$204=A191)*(Накладные!$E$5:$E$204=Справочник!$B$4)*(Накладные!$G$5:$G$204="Приход")*(Накладные!$F$5:$F$204))-SUMPRODUCT((Накладные!$C$5:$C$204=A191)*(Накладные!$E$5:$E$204=Справочник!$B$4)*(Накладные!$G$5:$G$204="Расход")*(Накладные!$F$5:$F$204)),SUMPRODUCT((Накладные!$C$5:$C$204=A191)*(Накладные!$D$5:$D$204=B191)*(Накладные!$E$5:$E$204=Справочник!$B$4)*(Накладные!$G$5:$G$204="Приход")*(Накладные!$F$5:$F$204))-SUMPRODUCT((Накладные!$C$5:$C$204=A191)*(Накладные!$D$5:$D$204=B191)*(Накладные!$E$5:$E$204=Справочник!$B$4)*(Накладные!$G$5:$G$204="Расход")*(Накладные!$F$5:$F$204))))</f>
        <v/>
      </c>
      <c r="D191" s="8">
        <f>IF(A191="","",IF(B191="",SUMPRODUCT((Накладные!$C$5:$C$204=A191)*(Накладные!$E$5:$E$204=Справочник!$B$5)*(Накладные!$G$5:$G$204="Приход")*(Накладные!$F$5:$F$204))-SUMPRODUCT((Накладные!$C$5:$C$204=A191)*(Накладные!$E$5:$E$204=Справочник!$B$5)*(Накладные!$G$5:$G$204="Расход")*(Накладные!$F$5:$F$204)),SUMPRODUCT((Накладные!$C$5:$C$204=A191)*(Накладные!$D$5:$D$204=B191)*(Накладные!$E$5:$E$204=Справочник!$B$5)*(Накладные!$G$5:$G$204="Приход")*(Накладные!$F$5:$F$204))-SUMPRODUCT((Накладные!$C$5:$C$204=A191)*(Накладные!$D$5:$D$204=B191)*(Накладные!$E$5:$E$204=Справочник!$B$5)*(Накладные!$G$5:$G$204="Расход")*(Накладные!$F$5:$F$204))))</f>
        <v/>
      </c>
      <c r="E191" s="8">
        <f>IF(A191="","",C191+D191)</f>
        <v/>
      </c>
    </row>
    <row r="192">
      <c r="A192" s="7">
        <f>IF(Справочник!A197="","",Справочник!A197)</f>
        <v/>
      </c>
      <c r="B192" s="7">
        <f>IF(Справочник!B197="","",Справочник!B197)</f>
        <v/>
      </c>
      <c r="C192" s="8">
        <f>IF(A192="","",IF(B192="",SUMPRODUCT((Накладные!$C$5:$C$204=A192)*(Накладные!$E$5:$E$204=Справочник!$B$4)*(Накладные!$G$5:$G$204="Приход")*(Накладные!$F$5:$F$204))-SUMPRODUCT((Накладные!$C$5:$C$204=A192)*(Накладные!$E$5:$E$204=Справочник!$B$4)*(Накладные!$G$5:$G$204="Расход")*(Накладные!$F$5:$F$204)),SUMPRODUCT((Накладные!$C$5:$C$204=A192)*(Накладные!$D$5:$D$204=B192)*(Накладные!$E$5:$E$204=Справочник!$B$4)*(Накладные!$G$5:$G$204="Приход")*(Накладные!$F$5:$F$204))-SUMPRODUCT((Накладные!$C$5:$C$204=A192)*(Накладные!$D$5:$D$204=B192)*(Накладные!$E$5:$E$204=Справочник!$B$4)*(Накладные!$G$5:$G$204="Расход")*(Накладные!$F$5:$F$204))))</f>
        <v/>
      </c>
      <c r="D192" s="8">
        <f>IF(A192="","",IF(B192="",SUMPRODUCT((Накладные!$C$5:$C$204=A192)*(Накладные!$E$5:$E$204=Справочник!$B$5)*(Накладные!$G$5:$G$204="Приход")*(Накладные!$F$5:$F$204))-SUMPRODUCT((Накладные!$C$5:$C$204=A192)*(Накладные!$E$5:$E$204=Справочник!$B$5)*(Накладные!$G$5:$G$204="Расход")*(Накладные!$F$5:$F$204)),SUMPRODUCT((Накладные!$C$5:$C$204=A192)*(Накладные!$D$5:$D$204=B192)*(Накладные!$E$5:$E$204=Справочник!$B$5)*(Накладные!$G$5:$G$204="Приход")*(Накладные!$F$5:$F$204))-SUMPRODUCT((Накладные!$C$5:$C$204=A192)*(Накладные!$D$5:$D$204=B192)*(Накладные!$E$5:$E$204=Справочник!$B$5)*(Накладные!$G$5:$G$204="Расход")*(Накладные!$F$5:$F$204))))</f>
        <v/>
      </c>
      <c r="E192" s="8">
        <f>IF(A192="","",C192+D192)</f>
        <v/>
      </c>
    </row>
    <row r="193">
      <c r="A193" s="7">
        <f>IF(Справочник!A198="","",Справочник!A198)</f>
        <v/>
      </c>
      <c r="B193" s="7">
        <f>IF(Справочник!B198="","",Справочник!B198)</f>
        <v/>
      </c>
      <c r="C193" s="8">
        <f>IF(A193="","",IF(B193="",SUMPRODUCT((Накладные!$C$5:$C$204=A193)*(Накладные!$E$5:$E$204=Справочник!$B$4)*(Накладные!$G$5:$G$204="Приход")*(Накладные!$F$5:$F$204))-SUMPRODUCT((Накладные!$C$5:$C$204=A193)*(Накладные!$E$5:$E$204=Справочник!$B$4)*(Накладные!$G$5:$G$204="Расход")*(Накладные!$F$5:$F$204)),SUMPRODUCT((Накладные!$C$5:$C$204=A193)*(Накладные!$D$5:$D$204=B193)*(Накладные!$E$5:$E$204=Справочник!$B$4)*(Накладные!$G$5:$G$204="Приход")*(Накладные!$F$5:$F$204))-SUMPRODUCT((Накладные!$C$5:$C$204=A193)*(Накладные!$D$5:$D$204=B193)*(Накладные!$E$5:$E$204=Справочник!$B$4)*(Накладные!$G$5:$G$204="Расход")*(Накладные!$F$5:$F$204))))</f>
        <v/>
      </c>
      <c r="D193" s="8">
        <f>IF(A193="","",IF(B193="",SUMPRODUCT((Накладные!$C$5:$C$204=A193)*(Накладные!$E$5:$E$204=Справочник!$B$5)*(Накладные!$G$5:$G$204="Приход")*(Накладные!$F$5:$F$204))-SUMPRODUCT((Накладные!$C$5:$C$204=A193)*(Накладные!$E$5:$E$204=Справочник!$B$5)*(Накладные!$G$5:$G$204="Расход")*(Накладные!$F$5:$F$204)),SUMPRODUCT((Накладные!$C$5:$C$204=A193)*(Накладные!$D$5:$D$204=B193)*(Накладные!$E$5:$E$204=Справочник!$B$5)*(Накладные!$G$5:$G$204="Приход")*(Накладные!$F$5:$F$204))-SUMPRODUCT((Накладные!$C$5:$C$204=A193)*(Накладные!$D$5:$D$204=B193)*(Накладные!$E$5:$E$204=Справочник!$B$5)*(Накладные!$G$5:$G$204="Расход")*(Накладные!$F$5:$F$204))))</f>
        <v/>
      </c>
      <c r="E193" s="8">
        <f>IF(A193="","",C193+D193)</f>
        <v/>
      </c>
    </row>
    <row r="194">
      <c r="A194" s="7">
        <f>IF(Справочник!A199="","",Справочник!A199)</f>
        <v/>
      </c>
      <c r="B194" s="7">
        <f>IF(Справочник!B199="","",Справочник!B199)</f>
        <v/>
      </c>
      <c r="C194" s="8">
        <f>IF(A194="","",IF(B194="",SUMPRODUCT((Накладные!$C$5:$C$204=A194)*(Накладные!$E$5:$E$204=Справочник!$B$4)*(Накладные!$G$5:$G$204="Приход")*(Накладные!$F$5:$F$204))-SUMPRODUCT((Накладные!$C$5:$C$204=A194)*(Накладные!$E$5:$E$204=Справочник!$B$4)*(Накладные!$G$5:$G$204="Расход")*(Накладные!$F$5:$F$204)),SUMPRODUCT((Накладные!$C$5:$C$204=A194)*(Накладные!$D$5:$D$204=B194)*(Накладные!$E$5:$E$204=Справочник!$B$4)*(Накладные!$G$5:$G$204="Приход")*(Накладные!$F$5:$F$204))-SUMPRODUCT((Накладные!$C$5:$C$204=A194)*(Накладные!$D$5:$D$204=B194)*(Накладные!$E$5:$E$204=Справочник!$B$4)*(Накладные!$G$5:$G$204="Расход")*(Накладные!$F$5:$F$204))))</f>
        <v/>
      </c>
      <c r="D194" s="8">
        <f>IF(A194="","",IF(B194="",SUMPRODUCT((Накладные!$C$5:$C$204=A194)*(Накладные!$E$5:$E$204=Справочник!$B$5)*(Накладные!$G$5:$G$204="Приход")*(Накладные!$F$5:$F$204))-SUMPRODUCT((Накладные!$C$5:$C$204=A194)*(Накладные!$E$5:$E$204=Справочник!$B$5)*(Накладные!$G$5:$G$204="Расход")*(Накладные!$F$5:$F$204)),SUMPRODUCT((Накладные!$C$5:$C$204=A194)*(Накладные!$D$5:$D$204=B194)*(Накладные!$E$5:$E$204=Справочник!$B$5)*(Накладные!$G$5:$G$204="Приход")*(Накладные!$F$5:$F$204))-SUMPRODUCT((Накладные!$C$5:$C$204=A194)*(Накладные!$D$5:$D$204=B194)*(Накладные!$E$5:$E$204=Справочник!$B$5)*(Накладные!$G$5:$G$204="Расход")*(Накладные!$F$5:$F$204))))</f>
        <v/>
      </c>
      <c r="E194" s="8">
        <f>IF(A194="","",C194+D194)</f>
        <v/>
      </c>
    </row>
    <row r="195">
      <c r="A195" s="7">
        <f>IF(Справочник!A200="","",Справочник!A200)</f>
        <v/>
      </c>
      <c r="B195" s="7">
        <f>IF(Справочник!B200="","",Справочник!B200)</f>
        <v/>
      </c>
      <c r="C195" s="8">
        <f>IF(A195="","",IF(B195="",SUMPRODUCT((Накладные!$C$5:$C$204=A195)*(Накладные!$E$5:$E$204=Справочник!$B$4)*(Накладные!$G$5:$G$204="Приход")*(Накладные!$F$5:$F$204))-SUMPRODUCT((Накладные!$C$5:$C$204=A195)*(Накладные!$E$5:$E$204=Справочник!$B$4)*(Накладные!$G$5:$G$204="Расход")*(Накладные!$F$5:$F$204)),SUMPRODUCT((Накладные!$C$5:$C$204=A195)*(Накладные!$D$5:$D$204=B195)*(Накладные!$E$5:$E$204=Справочник!$B$4)*(Накладные!$G$5:$G$204="Приход")*(Накладные!$F$5:$F$204))-SUMPRODUCT((Накладные!$C$5:$C$204=A195)*(Накладные!$D$5:$D$204=B195)*(Накладные!$E$5:$E$204=Справочник!$B$4)*(Накладные!$G$5:$G$204="Расход")*(Накладные!$F$5:$F$204))))</f>
        <v/>
      </c>
      <c r="D195" s="8">
        <f>IF(A195="","",IF(B195="",SUMPRODUCT((Накладные!$C$5:$C$204=A195)*(Накладные!$E$5:$E$204=Справочник!$B$5)*(Накладные!$G$5:$G$204="Приход")*(Накладные!$F$5:$F$204))-SUMPRODUCT((Накладные!$C$5:$C$204=A195)*(Накладные!$E$5:$E$204=Справочник!$B$5)*(Накладные!$G$5:$G$204="Расход")*(Накладные!$F$5:$F$204)),SUMPRODUCT((Накладные!$C$5:$C$204=A195)*(Накладные!$D$5:$D$204=B195)*(Накладные!$E$5:$E$204=Справочник!$B$5)*(Накладные!$G$5:$G$204="Приход")*(Накладные!$F$5:$F$204))-SUMPRODUCT((Накладные!$C$5:$C$204=A195)*(Накладные!$D$5:$D$204=B195)*(Накладные!$E$5:$E$204=Справочник!$B$5)*(Накладные!$G$5:$G$204="Расход")*(Накладные!$F$5:$F$204))))</f>
        <v/>
      </c>
      <c r="E195" s="8">
        <f>IF(A195="","",C195+D195)</f>
        <v/>
      </c>
    </row>
    <row r="196">
      <c r="A196" s="7">
        <f>IF(Справочник!A201="","",Справочник!A201)</f>
        <v/>
      </c>
      <c r="B196" s="7">
        <f>IF(Справочник!B201="","",Справочник!B201)</f>
        <v/>
      </c>
      <c r="C196" s="8">
        <f>IF(A196="","",IF(B196="",SUMPRODUCT((Накладные!$C$5:$C$204=A196)*(Накладные!$E$5:$E$204=Справочник!$B$4)*(Накладные!$G$5:$G$204="Приход")*(Накладные!$F$5:$F$204))-SUMPRODUCT((Накладные!$C$5:$C$204=A196)*(Накладные!$E$5:$E$204=Справочник!$B$4)*(Накладные!$G$5:$G$204="Расход")*(Накладные!$F$5:$F$204)),SUMPRODUCT((Накладные!$C$5:$C$204=A196)*(Накладные!$D$5:$D$204=B196)*(Накладные!$E$5:$E$204=Справочник!$B$4)*(Накладные!$G$5:$G$204="Приход")*(Накладные!$F$5:$F$204))-SUMPRODUCT((Накладные!$C$5:$C$204=A196)*(Накладные!$D$5:$D$204=B196)*(Накладные!$E$5:$E$204=Справочник!$B$4)*(Накладные!$G$5:$G$204="Расход")*(Накладные!$F$5:$F$204))))</f>
        <v/>
      </c>
      <c r="D196" s="8">
        <f>IF(A196="","",IF(B196="",SUMPRODUCT((Накладные!$C$5:$C$204=A196)*(Накладные!$E$5:$E$204=Справочник!$B$5)*(Накладные!$G$5:$G$204="Приход")*(Накладные!$F$5:$F$204))-SUMPRODUCT((Накладные!$C$5:$C$204=A196)*(Накладные!$E$5:$E$204=Справочник!$B$5)*(Накладные!$G$5:$G$204="Расход")*(Накладные!$F$5:$F$204)),SUMPRODUCT((Накладные!$C$5:$C$204=A196)*(Накладные!$D$5:$D$204=B196)*(Накладные!$E$5:$E$204=Справочник!$B$5)*(Накладные!$G$5:$G$204="Приход")*(Накладные!$F$5:$F$204))-SUMPRODUCT((Накладные!$C$5:$C$204=A196)*(Накладные!$D$5:$D$204=B196)*(Накладные!$E$5:$E$204=Справочник!$B$5)*(Накладные!$G$5:$G$204="Расход")*(Накладные!$F$5:$F$204))))</f>
        <v/>
      </c>
      <c r="E196" s="8">
        <f>IF(A196="","",C196+D196)</f>
        <v/>
      </c>
    </row>
    <row r="197">
      <c r="A197" s="7">
        <f>IF(Справочник!A202="","",Справочник!A202)</f>
        <v/>
      </c>
      <c r="B197" s="7">
        <f>IF(Справочник!B202="","",Справочник!B202)</f>
        <v/>
      </c>
      <c r="C197" s="8">
        <f>IF(A197="","",IF(B197="",SUMPRODUCT((Накладные!$C$5:$C$204=A197)*(Накладные!$E$5:$E$204=Справочник!$B$4)*(Накладные!$G$5:$G$204="Приход")*(Накладные!$F$5:$F$204))-SUMPRODUCT((Накладные!$C$5:$C$204=A197)*(Накладные!$E$5:$E$204=Справочник!$B$4)*(Накладные!$G$5:$G$204="Расход")*(Накладные!$F$5:$F$204)),SUMPRODUCT((Накладные!$C$5:$C$204=A197)*(Накладные!$D$5:$D$204=B197)*(Накладные!$E$5:$E$204=Справочник!$B$4)*(Накладные!$G$5:$G$204="Приход")*(Накладные!$F$5:$F$204))-SUMPRODUCT((Накладные!$C$5:$C$204=A197)*(Накладные!$D$5:$D$204=B197)*(Накладные!$E$5:$E$204=Справочник!$B$4)*(Накладные!$G$5:$G$204="Расход")*(Накладные!$F$5:$F$204))))</f>
        <v/>
      </c>
      <c r="D197" s="8">
        <f>IF(A197="","",IF(B197="",SUMPRODUCT((Накладные!$C$5:$C$204=A197)*(Накладные!$E$5:$E$204=Справочник!$B$5)*(Накладные!$G$5:$G$204="Приход")*(Накладные!$F$5:$F$204))-SUMPRODUCT((Накладные!$C$5:$C$204=A197)*(Накладные!$E$5:$E$204=Справочник!$B$5)*(Накладные!$G$5:$G$204="Расход")*(Накладные!$F$5:$F$204)),SUMPRODUCT((Накладные!$C$5:$C$204=A197)*(Накладные!$D$5:$D$204=B197)*(Накладные!$E$5:$E$204=Справочник!$B$5)*(Накладные!$G$5:$G$204="Приход")*(Накладные!$F$5:$F$204))-SUMPRODUCT((Накладные!$C$5:$C$204=A197)*(Накладные!$D$5:$D$204=B197)*(Накладные!$E$5:$E$204=Справочник!$B$5)*(Накладные!$G$5:$G$204="Расход")*(Накладные!$F$5:$F$204))))</f>
        <v/>
      </c>
      <c r="E197" s="8">
        <f>IF(A197="","",C197+D197)</f>
        <v/>
      </c>
    </row>
    <row r="198">
      <c r="A198" s="7">
        <f>IF(Справочник!A203="","",Справочник!A203)</f>
        <v/>
      </c>
      <c r="B198" s="7">
        <f>IF(Справочник!B203="","",Справочник!B203)</f>
        <v/>
      </c>
      <c r="C198" s="8">
        <f>IF(A198="","",IF(B198="",SUMPRODUCT((Накладные!$C$5:$C$204=A198)*(Накладные!$E$5:$E$204=Справочник!$B$4)*(Накладные!$G$5:$G$204="Приход")*(Накладные!$F$5:$F$204))-SUMPRODUCT((Накладные!$C$5:$C$204=A198)*(Накладные!$E$5:$E$204=Справочник!$B$4)*(Накладные!$G$5:$G$204="Расход")*(Накладные!$F$5:$F$204)),SUMPRODUCT((Накладные!$C$5:$C$204=A198)*(Накладные!$D$5:$D$204=B198)*(Накладные!$E$5:$E$204=Справочник!$B$4)*(Накладные!$G$5:$G$204="Приход")*(Накладные!$F$5:$F$204))-SUMPRODUCT((Накладные!$C$5:$C$204=A198)*(Накладные!$D$5:$D$204=B198)*(Накладные!$E$5:$E$204=Справочник!$B$4)*(Накладные!$G$5:$G$204="Расход")*(Накладные!$F$5:$F$204))))</f>
        <v/>
      </c>
      <c r="D198" s="8">
        <f>IF(A198="","",IF(B198="",SUMPRODUCT((Накладные!$C$5:$C$204=A198)*(Накладные!$E$5:$E$204=Справочник!$B$5)*(Накладные!$G$5:$G$204="Приход")*(Накладные!$F$5:$F$204))-SUMPRODUCT((Накладные!$C$5:$C$204=A198)*(Накладные!$E$5:$E$204=Справочник!$B$5)*(Накладные!$G$5:$G$204="Расход")*(Накладные!$F$5:$F$204)),SUMPRODUCT((Накладные!$C$5:$C$204=A198)*(Накладные!$D$5:$D$204=B198)*(Накладные!$E$5:$E$204=Справочник!$B$5)*(Накладные!$G$5:$G$204="Приход")*(Накладные!$F$5:$F$204))-SUMPRODUCT((Накладные!$C$5:$C$204=A198)*(Накладные!$D$5:$D$204=B198)*(Накладные!$E$5:$E$204=Справочник!$B$5)*(Накладные!$G$5:$G$204="Расход")*(Накладные!$F$5:$F$204))))</f>
        <v/>
      </c>
      <c r="E198" s="8">
        <f>IF(A198="","",C198+D198)</f>
        <v/>
      </c>
    </row>
    <row r="199">
      <c r="A199" s="7">
        <f>IF(Справочник!A204="","",Справочник!A204)</f>
        <v/>
      </c>
      <c r="B199" s="7">
        <f>IF(Справочник!B204="","",Справочник!B204)</f>
        <v/>
      </c>
      <c r="C199" s="8">
        <f>IF(A199="","",IF(B199="",SUMPRODUCT((Накладные!$C$5:$C$204=A199)*(Накладные!$E$5:$E$204=Справочник!$B$4)*(Накладные!$G$5:$G$204="Приход")*(Накладные!$F$5:$F$204))-SUMPRODUCT((Накладные!$C$5:$C$204=A199)*(Накладные!$E$5:$E$204=Справочник!$B$4)*(Накладные!$G$5:$G$204="Расход")*(Накладные!$F$5:$F$204)),SUMPRODUCT((Накладные!$C$5:$C$204=A199)*(Накладные!$D$5:$D$204=B199)*(Накладные!$E$5:$E$204=Справочник!$B$4)*(Накладные!$G$5:$G$204="Приход")*(Накладные!$F$5:$F$204))-SUMPRODUCT((Накладные!$C$5:$C$204=A199)*(Накладные!$D$5:$D$204=B199)*(Накладные!$E$5:$E$204=Справочник!$B$4)*(Накладные!$G$5:$G$204="Расход")*(Накладные!$F$5:$F$204))))</f>
        <v/>
      </c>
      <c r="D199" s="8">
        <f>IF(A199="","",IF(B199="",SUMPRODUCT((Накладные!$C$5:$C$204=A199)*(Накладные!$E$5:$E$204=Справочник!$B$5)*(Накладные!$G$5:$G$204="Приход")*(Накладные!$F$5:$F$204))-SUMPRODUCT((Накладные!$C$5:$C$204=A199)*(Накладные!$E$5:$E$204=Справочник!$B$5)*(Накладные!$G$5:$G$204="Расход")*(Накладные!$F$5:$F$204)),SUMPRODUCT((Накладные!$C$5:$C$204=A199)*(Накладные!$D$5:$D$204=B199)*(Накладные!$E$5:$E$204=Справочник!$B$5)*(Накладные!$G$5:$G$204="Приход")*(Накладные!$F$5:$F$204))-SUMPRODUCT((Накладные!$C$5:$C$204=A199)*(Накладные!$D$5:$D$204=B199)*(Накладные!$E$5:$E$204=Справочник!$B$5)*(Накладные!$G$5:$G$204="Расход")*(Накладные!$F$5:$F$204))))</f>
        <v/>
      </c>
      <c r="E199" s="8">
        <f>IF(A199="","",C199+D199)</f>
        <v/>
      </c>
    </row>
    <row r="200">
      <c r="A200" s="7">
        <f>IF(Справочник!A205="","",Справочник!A205)</f>
        <v/>
      </c>
      <c r="B200" s="7">
        <f>IF(Справочник!B205="","",Справочник!B205)</f>
        <v/>
      </c>
      <c r="C200" s="8">
        <f>IF(A200="","",IF(B200="",SUMPRODUCT((Накладные!$C$5:$C$204=A200)*(Накладные!$E$5:$E$204=Справочник!$B$4)*(Накладные!$G$5:$G$204="Приход")*(Накладные!$F$5:$F$204))-SUMPRODUCT((Накладные!$C$5:$C$204=A200)*(Накладные!$E$5:$E$204=Справочник!$B$4)*(Накладные!$G$5:$G$204="Расход")*(Накладные!$F$5:$F$204)),SUMPRODUCT((Накладные!$C$5:$C$204=A200)*(Накладные!$D$5:$D$204=B200)*(Накладные!$E$5:$E$204=Справочник!$B$4)*(Накладные!$G$5:$G$204="Приход")*(Накладные!$F$5:$F$204))-SUMPRODUCT((Накладные!$C$5:$C$204=A200)*(Накладные!$D$5:$D$204=B200)*(Накладные!$E$5:$E$204=Справочник!$B$4)*(Накладные!$G$5:$G$204="Расход")*(Накладные!$F$5:$F$204))))</f>
        <v/>
      </c>
      <c r="D200" s="8">
        <f>IF(A200="","",IF(B200="",SUMPRODUCT((Накладные!$C$5:$C$204=A200)*(Накладные!$E$5:$E$204=Справочник!$B$5)*(Накладные!$G$5:$G$204="Приход")*(Накладные!$F$5:$F$204))-SUMPRODUCT((Накладные!$C$5:$C$204=A200)*(Накладные!$E$5:$E$204=Справочник!$B$5)*(Накладные!$G$5:$G$204="Расход")*(Накладные!$F$5:$F$204)),SUMPRODUCT((Накладные!$C$5:$C$204=A200)*(Накладные!$D$5:$D$204=B200)*(Накладные!$E$5:$E$204=Справочник!$B$5)*(Накладные!$G$5:$G$204="Приход")*(Накладные!$F$5:$F$204))-SUMPRODUCT((Накладные!$C$5:$C$204=A200)*(Накладные!$D$5:$D$204=B200)*(Накладные!$E$5:$E$204=Справочник!$B$5)*(Накладные!$G$5:$G$204="Расход")*(Накладные!$F$5:$F$204))))</f>
        <v/>
      </c>
      <c r="E200" s="8">
        <f>IF(A200="","",C200+D200)</f>
        <v/>
      </c>
    </row>
    <row r="201">
      <c r="A201" s="7">
        <f>IF(Справочник!A206="","",Справочник!A206)</f>
        <v/>
      </c>
      <c r="B201" s="7">
        <f>IF(Справочник!B206="","",Справочник!B206)</f>
        <v/>
      </c>
      <c r="C201" s="8">
        <f>IF(A201="","",IF(B201="",SUMPRODUCT((Накладные!$C$5:$C$204=A201)*(Накладные!$E$5:$E$204=Справочник!$B$4)*(Накладные!$G$5:$G$204="Приход")*(Накладные!$F$5:$F$204))-SUMPRODUCT((Накладные!$C$5:$C$204=A201)*(Накладные!$E$5:$E$204=Справочник!$B$4)*(Накладные!$G$5:$G$204="Расход")*(Накладные!$F$5:$F$204)),SUMPRODUCT((Накладные!$C$5:$C$204=A201)*(Накладные!$D$5:$D$204=B201)*(Накладные!$E$5:$E$204=Справочник!$B$4)*(Накладные!$G$5:$G$204="Приход")*(Накладные!$F$5:$F$204))-SUMPRODUCT((Накладные!$C$5:$C$204=A201)*(Накладные!$D$5:$D$204=B201)*(Накладные!$E$5:$E$204=Справочник!$B$4)*(Накладные!$G$5:$G$204="Расход")*(Накладные!$F$5:$F$204))))</f>
        <v/>
      </c>
      <c r="D201" s="8">
        <f>IF(A201="","",IF(B201="",SUMPRODUCT((Накладные!$C$5:$C$204=A201)*(Накладные!$E$5:$E$204=Справочник!$B$5)*(Накладные!$G$5:$G$204="Приход")*(Накладные!$F$5:$F$204))-SUMPRODUCT((Накладные!$C$5:$C$204=A201)*(Накладные!$E$5:$E$204=Справочник!$B$5)*(Накладные!$G$5:$G$204="Расход")*(Накладные!$F$5:$F$204)),SUMPRODUCT((Накладные!$C$5:$C$204=A201)*(Накладные!$D$5:$D$204=B201)*(Накладные!$E$5:$E$204=Справочник!$B$5)*(Накладные!$G$5:$G$204="Приход")*(Накладные!$F$5:$F$204))-SUMPRODUCT((Накладные!$C$5:$C$204=A201)*(Накладные!$D$5:$D$204=B201)*(Накладные!$E$5:$E$204=Справочник!$B$5)*(Накладные!$G$5:$G$204="Расход")*(Накладные!$F$5:$F$204))))</f>
        <v/>
      </c>
      <c r="E201" s="8">
        <f>IF(A201="","",C201+D201)</f>
        <v/>
      </c>
    </row>
    <row r="202">
      <c r="A202" s="7">
        <f>IF(Справочник!A207="","",Справочник!A207)</f>
        <v/>
      </c>
      <c r="B202" s="7">
        <f>IF(Справочник!B207="","",Справочник!B207)</f>
        <v/>
      </c>
      <c r="C202" s="8">
        <f>IF(A202="","",IF(B202="",SUMPRODUCT((Накладные!$C$5:$C$204=A202)*(Накладные!$E$5:$E$204=Справочник!$B$4)*(Накладные!$G$5:$G$204="Приход")*(Накладные!$F$5:$F$204))-SUMPRODUCT((Накладные!$C$5:$C$204=A202)*(Накладные!$E$5:$E$204=Справочник!$B$4)*(Накладные!$G$5:$G$204="Расход")*(Накладные!$F$5:$F$204)),SUMPRODUCT((Накладные!$C$5:$C$204=A202)*(Накладные!$D$5:$D$204=B202)*(Накладные!$E$5:$E$204=Справочник!$B$4)*(Накладные!$G$5:$G$204="Приход")*(Накладные!$F$5:$F$204))-SUMPRODUCT((Накладные!$C$5:$C$204=A202)*(Накладные!$D$5:$D$204=B202)*(Накладные!$E$5:$E$204=Справочник!$B$4)*(Накладные!$G$5:$G$204="Расход")*(Накладные!$F$5:$F$204))))</f>
        <v/>
      </c>
      <c r="D202" s="8">
        <f>IF(A202="","",IF(B202="",SUMPRODUCT((Накладные!$C$5:$C$204=A202)*(Накладные!$E$5:$E$204=Справочник!$B$5)*(Накладные!$G$5:$G$204="Приход")*(Накладные!$F$5:$F$204))-SUMPRODUCT((Накладные!$C$5:$C$204=A202)*(Накладные!$E$5:$E$204=Справочник!$B$5)*(Накладные!$G$5:$G$204="Расход")*(Накладные!$F$5:$F$204)),SUMPRODUCT((Накладные!$C$5:$C$204=A202)*(Накладные!$D$5:$D$204=B202)*(Накладные!$E$5:$E$204=Справочник!$B$5)*(Накладные!$G$5:$G$204="Приход")*(Накладные!$F$5:$F$204))-SUMPRODUCT((Накладные!$C$5:$C$204=A202)*(Накладные!$D$5:$D$204=B202)*(Накладные!$E$5:$E$204=Справочник!$B$5)*(Накладные!$G$5:$G$204="Расход")*(Накладные!$F$5:$F$204))))</f>
        <v/>
      </c>
      <c r="E202" s="8">
        <f>IF(A202="","",C202+D202)</f>
        <v/>
      </c>
    </row>
    <row r="203">
      <c r="A203" s="7">
        <f>IF(Справочник!A208="","",Справочник!A208)</f>
        <v/>
      </c>
      <c r="B203" s="7">
        <f>IF(Справочник!B208="","",Справочник!B208)</f>
        <v/>
      </c>
      <c r="C203" s="8">
        <f>IF(A203="","",IF(B203="",SUMPRODUCT((Накладные!$C$5:$C$204=A203)*(Накладные!$E$5:$E$204=Справочник!$B$4)*(Накладные!$G$5:$G$204="Приход")*(Накладные!$F$5:$F$204))-SUMPRODUCT((Накладные!$C$5:$C$204=A203)*(Накладные!$E$5:$E$204=Справочник!$B$4)*(Накладные!$G$5:$G$204="Расход")*(Накладные!$F$5:$F$204)),SUMPRODUCT((Накладные!$C$5:$C$204=A203)*(Накладные!$D$5:$D$204=B203)*(Накладные!$E$5:$E$204=Справочник!$B$4)*(Накладные!$G$5:$G$204="Приход")*(Накладные!$F$5:$F$204))-SUMPRODUCT((Накладные!$C$5:$C$204=A203)*(Накладные!$D$5:$D$204=B203)*(Накладные!$E$5:$E$204=Справочник!$B$4)*(Накладные!$G$5:$G$204="Расход")*(Накладные!$F$5:$F$204))))</f>
        <v/>
      </c>
      <c r="D203" s="8">
        <f>IF(A203="","",IF(B203="",SUMPRODUCT((Накладные!$C$5:$C$204=A203)*(Накладные!$E$5:$E$204=Справочник!$B$5)*(Накладные!$G$5:$G$204="Приход")*(Накладные!$F$5:$F$204))-SUMPRODUCT((Накладные!$C$5:$C$204=A203)*(Накладные!$E$5:$E$204=Справочник!$B$5)*(Накладные!$G$5:$G$204="Расход")*(Накладные!$F$5:$F$204)),SUMPRODUCT((Накладные!$C$5:$C$204=A203)*(Накладные!$D$5:$D$204=B203)*(Накладные!$E$5:$E$204=Справочник!$B$5)*(Накладные!$G$5:$G$204="Приход")*(Накладные!$F$5:$F$204))-SUMPRODUCT((Накладные!$C$5:$C$204=A203)*(Накладные!$D$5:$D$204=B203)*(Накладные!$E$5:$E$204=Справочник!$B$5)*(Накладные!$G$5:$G$204="Расход")*(Накладные!$F$5:$F$204))))</f>
        <v/>
      </c>
      <c r="E203" s="8">
        <f>IF(A203="","",C203+D203)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</cols>
  <sheetData>
    <row r="1">
      <c r="A1" s="1" t="inlineStr">
        <is>
          <t>Справочник</t>
        </is>
      </c>
    </row>
    <row r="3">
      <c r="A3" s="9" t="inlineStr">
        <is>
          <t>Названия фасовок (измените под себя)</t>
        </is>
      </c>
      <c r="E3" s="2" t="inlineStr">
        <is>
          <t>Исправления написания: Masthuve→Musthave, Saphire→Sapphire, Сарама→Сарма, NAШ→НАШ. Если нужно иначе — скажи.</t>
        </is>
      </c>
    </row>
    <row r="4">
      <c r="A4" s="10" t="inlineStr">
        <is>
          <t>Фасовка 1</t>
        </is>
      </c>
      <c r="B4" s="11" t="inlineStr">
        <is>
          <t>50 г</t>
        </is>
      </c>
    </row>
    <row r="5">
      <c r="A5" s="10" t="inlineStr">
        <is>
          <t>Фасовка 2</t>
        </is>
      </c>
      <c r="B5" s="11" t="inlineStr">
        <is>
          <t>250 г</t>
        </is>
      </c>
    </row>
    <row r="7">
      <c r="A7" s="9" t="inlineStr">
        <is>
          <t>Бренды и вкусы (вкусы вписывайте в столбец B; для нового вкуса того же бренда — новая строка)</t>
        </is>
      </c>
    </row>
    <row r="8">
      <c r="A8" s="3" t="inlineStr">
        <is>
          <t>Бренд</t>
        </is>
      </c>
      <c r="B8" s="3" t="inlineStr">
        <is>
          <t>Вкус</t>
        </is>
      </c>
      <c r="C8" s="3" t="inlineStr">
        <is>
          <t>Бренд + вкус (авто)</t>
        </is>
      </c>
    </row>
    <row r="9">
      <c r="A9" s="6" t="inlineStr">
        <is>
          <t>Palitra</t>
        </is>
      </c>
      <c r="B9" s="11" t="n"/>
      <c r="C9" s="12">
        <f>IF(A9="","",IF(B9="",A9,A9&amp;" — "&amp;B9))</f>
        <v/>
      </c>
    </row>
    <row r="10">
      <c r="A10" s="6" t="inlineStr">
        <is>
          <t>Deus</t>
        </is>
      </c>
      <c r="B10" s="11" t="n"/>
      <c r="C10" s="12">
        <f>IF(A10="","",IF(B10="",A10,A10&amp;" — "&amp;B10))</f>
        <v/>
      </c>
    </row>
    <row r="11">
      <c r="A11" s="6" t="inlineStr">
        <is>
          <t>Musthave</t>
        </is>
      </c>
      <c r="B11" s="11" t="n"/>
      <c r="C11" s="12">
        <f>IF(A11="","",IF(B11="",A11,A11&amp;" — "&amp;B11))</f>
        <v/>
      </c>
    </row>
    <row r="12">
      <c r="A12" s="6" t="inlineStr">
        <is>
          <t>TNG</t>
        </is>
      </c>
      <c r="B12" s="11" t="n"/>
      <c r="C12" s="12">
        <f>IF(A12="","",IF(B12="",A12,A12&amp;" — "&amp;B12))</f>
        <v/>
      </c>
    </row>
    <row r="13">
      <c r="A13" s="6" t="inlineStr">
        <is>
          <t>Хулиган крепкий</t>
        </is>
      </c>
      <c r="B13" s="11" t="n"/>
      <c r="C13" s="12">
        <f>IF(A13="","",IF(B13="",A13,A13&amp;" — "&amp;B13))</f>
        <v/>
      </c>
    </row>
    <row r="14">
      <c r="A14" s="6" t="inlineStr">
        <is>
          <t>Хулиган классический</t>
        </is>
      </c>
      <c r="B14" s="11" t="n"/>
      <c r="C14" s="12">
        <f>IF(A14="","",IF(B14="",A14,A14&amp;" — "&amp;B14))</f>
        <v/>
      </c>
    </row>
    <row r="15">
      <c r="A15" s="6" t="inlineStr">
        <is>
          <t>Sebero</t>
        </is>
      </c>
      <c r="B15" s="11" t="n"/>
      <c r="C15" s="12">
        <f>IF(A15="","",IF(B15="",A15,A15&amp;" — "&amp;B15))</f>
        <v/>
      </c>
    </row>
    <row r="16">
      <c r="A16" s="6" t="inlineStr">
        <is>
          <t>Sapphire</t>
        </is>
      </c>
      <c r="B16" s="11" t="n"/>
      <c r="C16" s="12">
        <f>IF(A16="","",IF(B16="",A16,A16&amp;" — "&amp;B16))</f>
        <v/>
      </c>
    </row>
    <row r="17">
      <c r="A17" s="6" t="inlineStr">
        <is>
          <t>Trof</t>
        </is>
      </c>
      <c r="B17" s="11" t="n"/>
      <c r="C17" s="12">
        <f>IF(A17="","",IF(B17="",A17,A17&amp;" — "&amp;B17))</f>
        <v/>
      </c>
    </row>
    <row r="18">
      <c r="A18" s="6" t="inlineStr">
        <is>
          <t>Satyr</t>
        </is>
      </c>
      <c r="B18" s="11" t="n"/>
      <c r="C18" s="12">
        <f>IF(A18="","",IF(B18="",A18,A18&amp;" — "&amp;B18))</f>
        <v/>
      </c>
    </row>
    <row r="19">
      <c r="A19" s="6" t="inlineStr">
        <is>
          <t>Jent</t>
        </is>
      </c>
      <c r="B19" s="11" t="n"/>
      <c r="C19" s="12">
        <f>IF(A19="","",IF(B19="",A19,A19&amp;" — "&amp;B19))</f>
        <v/>
      </c>
    </row>
    <row r="20">
      <c r="A20" s="6" t="inlineStr">
        <is>
          <t>Darkside</t>
        </is>
      </c>
      <c r="B20" s="11" t="n"/>
      <c r="C20" s="12">
        <f>IF(A20="","",IF(B20="",A20,A20&amp;" — "&amp;B20))</f>
        <v/>
      </c>
    </row>
    <row r="21">
      <c r="A21" s="6" t="inlineStr">
        <is>
          <t>Сарма классик</t>
        </is>
      </c>
      <c r="B21" s="11" t="n"/>
      <c r="C21" s="12">
        <f>IF(A21="","",IF(B21="",A21,A21&amp;" — "&amp;B21))</f>
        <v/>
      </c>
    </row>
    <row r="22">
      <c r="A22" s="6" t="inlineStr">
        <is>
          <t>Сарма крепкая</t>
        </is>
      </c>
      <c r="B22" s="11" t="n"/>
      <c r="C22" s="12">
        <f>IF(A22="","",IF(B22="",A22,A22&amp;" — "&amp;B22))</f>
        <v/>
      </c>
    </row>
    <row r="23">
      <c r="A23" s="6" t="inlineStr">
        <is>
          <t>Сарма легкая</t>
        </is>
      </c>
      <c r="B23" s="11" t="n"/>
      <c r="C23" s="12">
        <f>IF(A23="","",IF(B23="",A23,A23&amp;" — "&amp;B23))</f>
        <v/>
      </c>
    </row>
    <row r="24">
      <c r="A24" s="6" t="inlineStr">
        <is>
          <t>Blackburn</t>
        </is>
      </c>
      <c r="B24" s="11" t="n"/>
      <c r="C24" s="12">
        <f>IF(A24="","",IF(B24="",A24,A24&amp;" — "&amp;B24))</f>
        <v/>
      </c>
    </row>
    <row r="25">
      <c r="A25" s="6" t="inlineStr">
        <is>
          <t>Overdose</t>
        </is>
      </c>
      <c r="B25" s="11" t="n"/>
      <c r="C25" s="12">
        <f>IF(A25="","",IF(B25="",A25,A25&amp;" — "&amp;B25))</f>
        <v/>
      </c>
    </row>
    <row r="26">
      <c r="A26" s="6" t="inlineStr">
        <is>
          <t>Afzal</t>
        </is>
      </c>
      <c r="B26" s="11" t="n"/>
      <c r="C26" s="12">
        <f>IF(A26="","",IF(B26="",A26,A26&amp;" — "&amp;B26))</f>
        <v/>
      </c>
    </row>
    <row r="27">
      <c r="A27" s="6" t="inlineStr">
        <is>
          <t>Starline</t>
        </is>
      </c>
      <c r="B27" s="11" t="n"/>
      <c r="C27" s="12">
        <f>IF(A27="","",IF(B27="",A27,A27&amp;" — "&amp;B27))</f>
        <v/>
      </c>
    </row>
    <row r="28">
      <c r="A28" s="6" t="inlineStr">
        <is>
          <t>Element</t>
        </is>
      </c>
      <c r="B28" s="11" t="n"/>
      <c r="C28" s="12">
        <f>IF(A28="","",IF(B28="",A28,A28&amp;" — "&amp;B28))</f>
        <v/>
      </c>
    </row>
    <row r="29">
      <c r="A29" s="6" t="inlineStr">
        <is>
          <t>База</t>
        </is>
      </c>
      <c r="B29" s="11" t="n"/>
      <c r="C29" s="12">
        <f>IF(A29="","",IF(B29="",A29,A29&amp;" — "&amp;B29))</f>
        <v/>
      </c>
    </row>
    <row r="30">
      <c r="A30" s="6" t="inlineStr">
        <is>
          <t>НАШ</t>
        </is>
      </c>
      <c r="B30" s="11" t="n"/>
      <c r="C30" s="12">
        <f>IF(A30="","",IF(B30="",A30,A30&amp;" — "&amp;B30))</f>
        <v/>
      </c>
    </row>
    <row r="31">
      <c r="A31" s="6" t="inlineStr">
        <is>
          <t>Bonche</t>
        </is>
      </c>
      <c r="B31" s="11" t="n"/>
      <c r="C31" s="12">
        <f>IF(A31="","",IF(B31="",A31,A31&amp;" — "&amp;B31))</f>
        <v/>
      </c>
    </row>
    <row r="32">
      <c r="A32" s="11" t="n"/>
      <c r="B32" s="11" t="n"/>
      <c r="C32" s="12">
        <f>IF(A32="","",IF(B32="",A32,A32&amp;" — "&amp;B32))</f>
        <v/>
      </c>
    </row>
    <row r="33">
      <c r="A33" s="11" t="n"/>
      <c r="B33" s="11" t="n"/>
      <c r="C33" s="12">
        <f>IF(A33="","",IF(B33="",A33,A33&amp;" — "&amp;B33))</f>
        <v/>
      </c>
    </row>
    <row r="34">
      <c r="A34" s="11" t="n"/>
      <c r="B34" s="11" t="n"/>
      <c r="C34" s="12">
        <f>IF(A34="","",IF(B34="",A34,A34&amp;" — "&amp;B34))</f>
        <v/>
      </c>
    </row>
    <row r="35">
      <c r="A35" s="11" t="n"/>
      <c r="B35" s="11" t="n"/>
      <c r="C35" s="12">
        <f>IF(A35="","",IF(B35="",A35,A35&amp;" — "&amp;B35))</f>
        <v/>
      </c>
    </row>
    <row r="36">
      <c r="A36" s="11" t="n"/>
      <c r="B36" s="11" t="n"/>
      <c r="C36" s="12">
        <f>IF(A36="","",IF(B36="",A36,A36&amp;" — "&amp;B36))</f>
        <v/>
      </c>
    </row>
    <row r="37">
      <c r="A37" s="11" t="n"/>
      <c r="B37" s="11" t="n"/>
      <c r="C37" s="12">
        <f>IF(A37="","",IF(B37="",A37,A37&amp;" — "&amp;B37))</f>
        <v/>
      </c>
    </row>
    <row r="38">
      <c r="A38" s="11" t="n"/>
      <c r="B38" s="11" t="n"/>
      <c r="C38" s="12">
        <f>IF(A38="","",IF(B38="",A38,A38&amp;" — "&amp;B38))</f>
        <v/>
      </c>
    </row>
    <row r="39">
      <c r="A39" s="11" t="n"/>
      <c r="B39" s="11" t="n"/>
      <c r="C39" s="12">
        <f>IF(A39="","",IF(B39="",A39,A39&amp;" — "&amp;B39))</f>
        <v/>
      </c>
    </row>
    <row r="40">
      <c r="A40" s="11" t="n"/>
      <c r="B40" s="11" t="n"/>
      <c r="C40" s="12">
        <f>IF(A40="","",IF(B40="",A40,A40&amp;" — "&amp;B40))</f>
        <v/>
      </c>
    </row>
    <row r="41">
      <c r="A41" s="11" t="n"/>
      <c r="B41" s="11" t="n"/>
      <c r="C41" s="12">
        <f>IF(A41="","",IF(B41="",A41,A41&amp;" — "&amp;B41))</f>
        <v/>
      </c>
    </row>
    <row r="42">
      <c r="A42" s="11" t="n"/>
      <c r="B42" s="11" t="n"/>
      <c r="C42" s="12">
        <f>IF(A42="","",IF(B42="",A42,A42&amp;" — "&amp;B42))</f>
        <v/>
      </c>
    </row>
    <row r="43">
      <c r="A43" s="11" t="n"/>
      <c r="B43" s="11" t="n"/>
      <c r="C43" s="12">
        <f>IF(A43="","",IF(B43="",A43,A43&amp;" — "&amp;B43))</f>
        <v/>
      </c>
    </row>
    <row r="44">
      <c r="A44" s="11" t="n"/>
      <c r="B44" s="11" t="n"/>
      <c r="C44" s="12">
        <f>IF(A44="","",IF(B44="",A44,A44&amp;" — "&amp;B44))</f>
        <v/>
      </c>
    </row>
    <row r="45">
      <c r="A45" s="11" t="n"/>
      <c r="B45" s="11" t="n"/>
      <c r="C45" s="12">
        <f>IF(A45="","",IF(B45="",A45,A45&amp;" — "&amp;B45))</f>
        <v/>
      </c>
    </row>
    <row r="46">
      <c r="A46" s="11" t="n"/>
      <c r="B46" s="11" t="n"/>
      <c r="C46" s="12">
        <f>IF(A46="","",IF(B46="",A46,A46&amp;" — "&amp;B46))</f>
        <v/>
      </c>
    </row>
    <row r="47">
      <c r="A47" s="11" t="n"/>
      <c r="B47" s="11" t="n"/>
      <c r="C47" s="12">
        <f>IF(A47="","",IF(B47="",A47,A47&amp;" — "&amp;B47))</f>
        <v/>
      </c>
    </row>
    <row r="48">
      <c r="A48" s="11" t="n"/>
      <c r="B48" s="11" t="n"/>
      <c r="C48" s="12">
        <f>IF(A48="","",IF(B48="",A48,A48&amp;" — "&amp;B48))</f>
        <v/>
      </c>
    </row>
    <row r="49">
      <c r="A49" s="11" t="n"/>
      <c r="B49" s="11" t="n"/>
      <c r="C49" s="12">
        <f>IF(A49="","",IF(B49="",A49,A49&amp;" — "&amp;B49))</f>
        <v/>
      </c>
    </row>
    <row r="50">
      <c r="A50" s="11" t="n"/>
      <c r="B50" s="11" t="n"/>
      <c r="C50" s="12">
        <f>IF(A50="","",IF(B50="",A50,A50&amp;" — "&amp;B50))</f>
        <v/>
      </c>
    </row>
    <row r="51">
      <c r="A51" s="11" t="n"/>
      <c r="B51" s="11" t="n"/>
      <c r="C51" s="12">
        <f>IF(A51="","",IF(B51="",A51,A51&amp;" — "&amp;B51))</f>
        <v/>
      </c>
    </row>
    <row r="52">
      <c r="A52" s="11" t="n"/>
      <c r="B52" s="11" t="n"/>
      <c r="C52" s="12">
        <f>IF(A52="","",IF(B52="",A52,A52&amp;" — "&amp;B52))</f>
        <v/>
      </c>
    </row>
    <row r="53">
      <c r="A53" s="11" t="n"/>
      <c r="B53" s="11" t="n"/>
      <c r="C53" s="12">
        <f>IF(A53="","",IF(B53="",A53,A53&amp;" — "&amp;B53))</f>
        <v/>
      </c>
    </row>
    <row r="54">
      <c r="A54" s="11" t="n"/>
      <c r="B54" s="11" t="n"/>
      <c r="C54" s="12">
        <f>IF(A54="","",IF(B54="",A54,A54&amp;" — "&amp;B54))</f>
        <v/>
      </c>
    </row>
    <row r="55">
      <c r="A55" s="11" t="n"/>
      <c r="B55" s="11" t="n"/>
      <c r="C55" s="12">
        <f>IF(A55="","",IF(B55="",A55,A55&amp;" — "&amp;B55))</f>
        <v/>
      </c>
    </row>
    <row r="56">
      <c r="A56" s="11" t="n"/>
      <c r="B56" s="11" t="n"/>
      <c r="C56" s="12">
        <f>IF(A56="","",IF(B56="",A56,A56&amp;" — "&amp;B56))</f>
        <v/>
      </c>
    </row>
    <row r="57">
      <c r="A57" s="11" t="n"/>
      <c r="B57" s="11" t="n"/>
      <c r="C57" s="12">
        <f>IF(A57="","",IF(B57="",A57,A57&amp;" — "&amp;B57))</f>
        <v/>
      </c>
    </row>
    <row r="58">
      <c r="A58" s="11" t="n"/>
      <c r="B58" s="11" t="n"/>
      <c r="C58" s="12">
        <f>IF(A58="","",IF(B58="",A58,A58&amp;" — "&amp;B58))</f>
        <v/>
      </c>
    </row>
    <row r="59">
      <c r="A59" s="11" t="n"/>
      <c r="B59" s="11" t="n"/>
      <c r="C59" s="12">
        <f>IF(A59="","",IF(B59="",A59,A59&amp;" — "&amp;B59))</f>
        <v/>
      </c>
    </row>
    <row r="60">
      <c r="A60" s="11" t="n"/>
      <c r="B60" s="11" t="n"/>
      <c r="C60" s="12">
        <f>IF(A60="","",IF(B60="",A60,A60&amp;" — "&amp;B60))</f>
        <v/>
      </c>
    </row>
    <row r="61">
      <c r="A61" s="11" t="n"/>
      <c r="B61" s="11" t="n"/>
      <c r="C61" s="12">
        <f>IF(A61="","",IF(B61="",A61,A61&amp;" — "&amp;B61))</f>
        <v/>
      </c>
    </row>
    <row r="62">
      <c r="A62" s="11" t="n"/>
      <c r="B62" s="11" t="n"/>
      <c r="C62" s="12">
        <f>IF(A62="","",IF(B62="",A62,A62&amp;" — "&amp;B62))</f>
        <v/>
      </c>
    </row>
    <row r="63">
      <c r="A63" s="11" t="n"/>
      <c r="B63" s="11" t="n"/>
      <c r="C63" s="12">
        <f>IF(A63="","",IF(B63="",A63,A63&amp;" — "&amp;B63))</f>
        <v/>
      </c>
    </row>
    <row r="64">
      <c r="A64" s="11" t="n"/>
      <c r="B64" s="11" t="n"/>
      <c r="C64" s="12">
        <f>IF(A64="","",IF(B64="",A64,A64&amp;" — "&amp;B64))</f>
        <v/>
      </c>
    </row>
    <row r="65">
      <c r="A65" s="11" t="n"/>
      <c r="B65" s="11" t="n"/>
      <c r="C65" s="12">
        <f>IF(A65="","",IF(B65="",A65,A65&amp;" — "&amp;B65))</f>
        <v/>
      </c>
    </row>
    <row r="66">
      <c r="A66" s="11" t="n"/>
      <c r="B66" s="11" t="n"/>
      <c r="C66" s="12">
        <f>IF(A66="","",IF(B66="",A66,A66&amp;" — "&amp;B66))</f>
        <v/>
      </c>
    </row>
    <row r="67">
      <c r="A67" s="11" t="n"/>
      <c r="B67" s="11" t="n"/>
      <c r="C67" s="12">
        <f>IF(A67="","",IF(B67="",A67,A67&amp;" — "&amp;B67))</f>
        <v/>
      </c>
    </row>
    <row r="68">
      <c r="A68" s="11" t="n"/>
      <c r="B68" s="11" t="n"/>
      <c r="C68" s="12">
        <f>IF(A68="","",IF(B68="",A68,A68&amp;" — "&amp;B68))</f>
        <v/>
      </c>
    </row>
    <row r="69">
      <c r="A69" s="11" t="n"/>
      <c r="B69" s="11" t="n"/>
      <c r="C69" s="12">
        <f>IF(A69="","",IF(B69="",A69,A69&amp;" — "&amp;B69))</f>
        <v/>
      </c>
    </row>
    <row r="70">
      <c r="A70" s="11" t="n"/>
      <c r="B70" s="11" t="n"/>
      <c r="C70" s="12">
        <f>IF(A70="","",IF(B70="",A70,A70&amp;" — "&amp;B70))</f>
        <v/>
      </c>
    </row>
    <row r="71">
      <c r="A71" s="11" t="n"/>
      <c r="B71" s="11" t="n"/>
      <c r="C71" s="12">
        <f>IF(A71="","",IF(B71="",A71,A71&amp;" — "&amp;B71))</f>
        <v/>
      </c>
    </row>
    <row r="72">
      <c r="A72" s="11" t="n"/>
      <c r="B72" s="11" t="n"/>
      <c r="C72" s="12">
        <f>IF(A72="","",IF(B72="",A72,A72&amp;" — "&amp;B72))</f>
        <v/>
      </c>
    </row>
    <row r="73">
      <c r="A73" s="11" t="n"/>
      <c r="B73" s="11" t="n"/>
      <c r="C73" s="12">
        <f>IF(A73="","",IF(B73="",A73,A73&amp;" — "&amp;B73))</f>
        <v/>
      </c>
    </row>
    <row r="74">
      <c r="A74" s="11" t="n"/>
      <c r="B74" s="11" t="n"/>
      <c r="C74" s="12">
        <f>IF(A74="","",IF(B74="",A74,A74&amp;" — "&amp;B74))</f>
        <v/>
      </c>
    </row>
    <row r="75">
      <c r="A75" s="11" t="n"/>
      <c r="B75" s="11" t="n"/>
      <c r="C75" s="12">
        <f>IF(A75="","",IF(B75="",A75,A75&amp;" — "&amp;B75))</f>
        <v/>
      </c>
    </row>
    <row r="76">
      <c r="A76" s="11" t="n"/>
      <c r="B76" s="11" t="n"/>
      <c r="C76" s="12">
        <f>IF(A76="","",IF(B76="",A76,A76&amp;" — "&amp;B76))</f>
        <v/>
      </c>
    </row>
    <row r="77">
      <c r="A77" s="11" t="n"/>
      <c r="B77" s="11" t="n"/>
      <c r="C77" s="12">
        <f>IF(A77="","",IF(B77="",A77,A77&amp;" — "&amp;B77))</f>
        <v/>
      </c>
    </row>
    <row r="78">
      <c r="A78" s="11" t="n"/>
      <c r="B78" s="11" t="n"/>
      <c r="C78" s="12">
        <f>IF(A78="","",IF(B78="",A78,A78&amp;" — "&amp;B78))</f>
        <v/>
      </c>
    </row>
    <row r="79">
      <c r="A79" s="11" t="n"/>
      <c r="B79" s="11" t="n"/>
      <c r="C79" s="12">
        <f>IF(A79="","",IF(B79="",A79,A79&amp;" — "&amp;B79))</f>
        <v/>
      </c>
    </row>
    <row r="80">
      <c r="A80" s="11" t="n"/>
      <c r="B80" s="11" t="n"/>
      <c r="C80" s="12">
        <f>IF(A80="","",IF(B80="",A80,A80&amp;" — "&amp;B80))</f>
        <v/>
      </c>
    </row>
    <row r="81">
      <c r="A81" s="11" t="n"/>
      <c r="B81" s="11" t="n"/>
      <c r="C81" s="12">
        <f>IF(A81="","",IF(B81="",A81,A81&amp;" — "&amp;B81))</f>
        <v/>
      </c>
    </row>
    <row r="82">
      <c r="A82" s="11" t="n"/>
      <c r="B82" s="11" t="n"/>
      <c r="C82" s="12">
        <f>IF(A82="","",IF(B82="",A82,A82&amp;" — "&amp;B82))</f>
        <v/>
      </c>
    </row>
    <row r="83">
      <c r="A83" s="11" t="n"/>
      <c r="B83" s="11" t="n"/>
      <c r="C83" s="12">
        <f>IF(A83="","",IF(B83="",A83,A83&amp;" — "&amp;B83))</f>
        <v/>
      </c>
    </row>
    <row r="84">
      <c r="A84" s="11" t="n"/>
      <c r="B84" s="11" t="n"/>
      <c r="C84" s="12">
        <f>IF(A84="","",IF(B84="",A84,A84&amp;" — "&amp;B84))</f>
        <v/>
      </c>
    </row>
    <row r="85">
      <c r="A85" s="11" t="n"/>
      <c r="B85" s="11" t="n"/>
      <c r="C85" s="12">
        <f>IF(A85="","",IF(B85="",A85,A85&amp;" — "&amp;B85))</f>
        <v/>
      </c>
    </row>
    <row r="86">
      <c r="A86" s="11" t="n"/>
      <c r="B86" s="11" t="n"/>
      <c r="C86" s="12">
        <f>IF(A86="","",IF(B86="",A86,A86&amp;" — "&amp;B86))</f>
        <v/>
      </c>
    </row>
    <row r="87">
      <c r="A87" s="11" t="n"/>
      <c r="B87" s="11" t="n"/>
      <c r="C87" s="12">
        <f>IF(A87="","",IF(B87="",A87,A87&amp;" — "&amp;B87))</f>
        <v/>
      </c>
    </row>
    <row r="88">
      <c r="A88" s="11" t="n"/>
      <c r="B88" s="11" t="n"/>
      <c r="C88" s="12">
        <f>IF(A88="","",IF(B88="",A88,A88&amp;" — "&amp;B88))</f>
        <v/>
      </c>
    </row>
    <row r="89">
      <c r="A89" s="11" t="n"/>
      <c r="B89" s="11" t="n"/>
      <c r="C89" s="12">
        <f>IF(A89="","",IF(B89="",A89,A89&amp;" — "&amp;B89))</f>
        <v/>
      </c>
    </row>
    <row r="90">
      <c r="A90" s="11" t="n"/>
      <c r="B90" s="11" t="n"/>
      <c r="C90" s="12">
        <f>IF(A90="","",IF(B90="",A90,A90&amp;" — "&amp;B90))</f>
        <v/>
      </c>
    </row>
    <row r="91">
      <c r="A91" s="11" t="n"/>
      <c r="B91" s="11" t="n"/>
      <c r="C91" s="12">
        <f>IF(A91="","",IF(B91="",A91,A91&amp;" — "&amp;B91))</f>
        <v/>
      </c>
    </row>
    <row r="92">
      <c r="A92" s="11" t="n"/>
      <c r="B92" s="11" t="n"/>
      <c r="C92" s="12">
        <f>IF(A92="","",IF(B92="",A92,A92&amp;" — "&amp;B92))</f>
        <v/>
      </c>
    </row>
    <row r="93">
      <c r="A93" s="11" t="n"/>
      <c r="B93" s="11" t="n"/>
      <c r="C93" s="12">
        <f>IF(A93="","",IF(B93="",A93,A93&amp;" — "&amp;B93))</f>
        <v/>
      </c>
    </row>
    <row r="94">
      <c r="A94" s="11" t="n"/>
      <c r="B94" s="11" t="n"/>
      <c r="C94" s="12">
        <f>IF(A94="","",IF(B94="",A94,A94&amp;" — "&amp;B94))</f>
        <v/>
      </c>
    </row>
    <row r="95">
      <c r="A95" s="11" t="n"/>
      <c r="B95" s="11" t="n"/>
      <c r="C95" s="12">
        <f>IF(A95="","",IF(B95="",A95,A95&amp;" — "&amp;B95))</f>
        <v/>
      </c>
    </row>
    <row r="96">
      <c r="A96" s="11" t="n"/>
      <c r="B96" s="11" t="n"/>
      <c r="C96" s="12">
        <f>IF(A96="","",IF(B96="",A96,A96&amp;" — "&amp;B96))</f>
        <v/>
      </c>
    </row>
    <row r="97">
      <c r="A97" s="11" t="n"/>
      <c r="B97" s="11" t="n"/>
      <c r="C97" s="12">
        <f>IF(A97="","",IF(B97="",A97,A97&amp;" — "&amp;B97))</f>
        <v/>
      </c>
    </row>
    <row r="98">
      <c r="A98" s="11" t="n"/>
      <c r="B98" s="11" t="n"/>
      <c r="C98" s="12">
        <f>IF(A98="","",IF(B98="",A98,A98&amp;" — "&amp;B98))</f>
        <v/>
      </c>
    </row>
    <row r="99">
      <c r="A99" s="11" t="n"/>
      <c r="B99" s="11" t="n"/>
      <c r="C99" s="12">
        <f>IF(A99="","",IF(B99="",A99,A99&amp;" — "&amp;B99))</f>
        <v/>
      </c>
    </row>
    <row r="100">
      <c r="A100" s="11" t="n"/>
      <c r="B100" s="11" t="n"/>
      <c r="C100" s="12">
        <f>IF(A100="","",IF(B100="",A100,A100&amp;" — "&amp;B100))</f>
        <v/>
      </c>
    </row>
    <row r="101">
      <c r="A101" s="11" t="n"/>
      <c r="B101" s="11" t="n"/>
      <c r="C101" s="12">
        <f>IF(A101="","",IF(B101="",A101,A101&amp;" — "&amp;B101))</f>
        <v/>
      </c>
    </row>
    <row r="102">
      <c r="A102" s="11" t="n"/>
      <c r="B102" s="11" t="n"/>
      <c r="C102" s="12">
        <f>IF(A102="","",IF(B102="",A102,A102&amp;" — "&amp;B102))</f>
        <v/>
      </c>
    </row>
    <row r="103">
      <c r="A103" s="11" t="n"/>
      <c r="B103" s="11" t="n"/>
      <c r="C103" s="12">
        <f>IF(A103="","",IF(B103="",A103,A103&amp;" — "&amp;B103))</f>
        <v/>
      </c>
    </row>
    <row r="104">
      <c r="A104" s="11" t="n"/>
      <c r="B104" s="11" t="n"/>
      <c r="C104" s="12">
        <f>IF(A104="","",IF(B104="",A104,A104&amp;" — "&amp;B104))</f>
        <v/>
      </c>
    </row>
    <row r="105">
      <c r="A105" s="11" t="n"/>
      <c r="B105" s="11" t="n"/>
      <c r="C105" s="12">
        <f>IF(A105="","",IF(B105="",A105,A105&amp;" — "&amp;B105))</f>
        <v/>
      </c>
    </row>
    <row r="106">
      <c r="A106" s="11" t="n"/>
      <c r="B106" s="11" t="n"/>
      <c r="C106" s="12">
        <f>IF(A106="","",IF(B106="",A106,A106&amp;" — "&amp;B106))</f>
        <v/>
      </c>
    </row>
    <row r="107">
      <c r="A107" s="11" t="n"/>
      <c r="B107" s="11" t="n"/>
      <c r="C107" s="12">
        <f>IF(A107="","",IF(B107="",A107,A107&amp;" — "&amp;B107))</f>
        <v/>
      </c>
    </row>
    <row r="108">
      <c r="A108" s="11" t="n"/>
      <c r="B108" s="11" t="n"/>
      <c r="C108" s="12">
        <f>IF(A108="","",IF(B108="",A108,A108&amp;" — "&amp;B108))</f>
        <v/>
      </c>
    </row>
    <row r="109">
      <c r="A109" s="11" t="n"/>
      <c r="B109" s="11" t="n"/>
      <c r="C109" s="12">
        <f>IF(A109="","",IF(B109="",A109,A109&amp;" — "&amp;B109))</f>
        <v/>
      </c>
    </row>
    <row r="110">
      <c r="A110" s="11" t="n"/>
      <c r="B110" s="11" t="n"/>
      <c r="C110" s="12">
        <f>IF(A110="","",IF(B110="",A110,A110&amp;" — "&amp;B110))</f>
        <v/>
      </c>
    </row>
    <row r="111">
      <c r="A111" s="11" t="n"/>
      <c r="B111" s="11" t="n"/>
      <c r="C111" s="12">
        <f>IF(A111="","",IF(B111="",A111,A111&amp;" — "&amp;B111))</f>
        <v/>
      </c>
    </row>
    <row r="112">
      <c r="A112" s="11" t="n"/>
      <c r="B112" s="11" t="n"/>
      <c r="C112" s="12">
        <f>IF(A112="","",IF(B112="",A112,A112&amp;" — "&amp;B112))</f>
        <v/>
      </c>
    </row>
    <row r="113">
      <c r="A113" s="11" t="n"/>
      <c r="B113" s="11" t="n"/>
      <c r="C113" s="12">
        <f>IF(A113="","",IF(B113="",A113,A113&amp;" — "&amp;B113))</f>
        <v/>
      </c>
    </row>
    <row r="114">
      <c r="A114" s="11" t="n"/>
      <c r="B114" s="11" t="n"/>
      <c r="C114" s="12">
        <f>IF(A114="","",IF(B114="",A114,A114&amp;" — "&amp;B114))</f>
        <v/>
      </c>
    </row>
    <row r="115">
      <c r="A115" s="11" t="n"/>
      <c r="B115" s="11" t="n"/>
      <c r="C115" s="12">
        <f>IF(A115="","",IF(B115="",A115,A115&amp;" — "&amp;B115))</f>
        <v/>
      </c>
    </row>
    <row r="116">
      <c r="A116" s="11" t="n"/>
      <c r="B116" s="11" t="n"/>
      <c r="C116" s="12">
        <f>IF(A116="","",IF(B116="",A116,A116&amp;" — "&amp;B116))</f>
        <v/>
      </c>
    </row>
    <row r="117">
      <c r="A117" s="11" t="n"/>
      <c r="B117" s="11" t="n"/>
      <c r="C117" s="12">
        <f>IF(A117="","",IF(B117="",A117,A117&amp;" — "&amp;B117))</f>
        <v/>
      </c>
    </row>
    <row r="118">
      <c r="A118" s="11" t="n"/>
      <c r="B118" s="11" t="n"/>
      <c r="C118" s="12">
        <f>IF(A118="","",IF(B118="",A118,A118&amp;" — "&amp;B118))</f>
        <v/>
      </c>
    </row>
    <row r="119">
      <c r="A119" s="11" t="n"/>
      <c r="B119" s="11" t="n"/>
      <c r="C119" s="12">
        <f>IF(A119="","",IF(B119="",A119,A119&amp;" — "&amp;B119))</f>
        <v/>
      </c>
    </row>
    <row r="120">
      <c r="A120" s="11" t="n"/>
      <c r="B120" s="11" t="n"/>
      <c r="C120" s="12">
        <f>IF(A120="","",IF(B120="",A120,A120&amp;" — "&amp;B120))</f>
        <v/>
      </c>
    </row>
    <row r="121">
      <c r="A121" s="11" t="n"/>
      <c r="B121" s="11" t="n"/>
      <c r="C121" s="12">
        <f>IF(A121="","",IF(B121="",A121,A121&amp;" — "&amp;B121))</f>
        <v/>
      </c>
    </row>
    <row r="122">
      <c r="A122" s="11" t="n"/>
      <c r="B122" s="11" t="n"/>
      <c r="C122" s="12">
        <f>IF(A122="","",IF(B122="",A122,A122&amp;" — "&amp;B122))</f>
        <v/>
      </c>
    </row>
    <row r="123">
      <c r="A123" s="11" t="n"/>
      <c r="B123" s="11" t="n"/>
      <c r="C123" s="12">
        <f>IF(A123="","",IF(B123="",A123,A123&amp;" — "&amp;B123))</f>
        <v/>
      </c>
    </row>
    <row r="124">
      <c r="A124" s="11" t="n"/>
      <c r="B124" s="11" t="n"/>
      <c r="C124" s="12">
        <f>IF(A124="","",IF(B124="",A124,A124&amp;" — "&amp;B124))</f>
        <v/>
      </c>
    </row>
    <row r="125">
      <c r="A125" s="11" t="n"/>
      <c r="B125" s="11" t="n"/>
      <c r="C125" s="12">
        <f>IF(A125="","",IF(B125="",A125,A125&amp;" — "&amp;B125))</f>
        <v/>
      </c>
    </row>
    <row r="126">
      <c r="A126" s="11" t="n"/>
      <c r="B126" s="11" t="n"/>
      <c r="C126" s="12">
        <f>IF(A126="","",IF(B126="",A126,A126&amp;" — "&amp;B126))</f>
        <v/>
      </c>
    </row>
    <row r="127">
      <c r="A127" s="11" t="n"/>
      <c r="B127" s="11" t="n"/>
      <c r="C127" s="12">
        <f>IF(A127="","",IF(B127="",A127,A127&amp;" — "&amp;B127))</f>
        <v/>
      </c>
    </row>
    <row r="128">
      <c r="A128" s="11" t="n"/>
      <c r="B128" s="11" t="n"/>
      <c r="C128" s="12">
        <f>IF(A128="","",IF(B128="",A128,A128&amp;" — "&amp;B128))</f>
        <v/>
      </c>
    </row>
    <row r="129">
      <c r="A129" s="11" t="n"/>
      <c r="B129" s="11" t="n"/>
      <c r="C129" s="12">
        <f>IF(A129="","",IF(B129="",A129,A129&amp;" — "&amp;B129))</f>
        <v/>
      </c>
    </row>
    <row r="130">
      <c r="A130" s="11" t="n"/>
      <c r="B130" s="11" t="n"/>
      <c r="C130" s="12">
        <f>IF(A130="","",IF(B130="",A130,A130&amp;" — "&amp;B130))</f>
        <v/>
      </c>
    </row>
    <row r="131">
      <c r="A131" s="11" t="n"/>
      <c r="B131" s="11" t="n"/>
      <c r="C131" s="12">
        <f>IF(A131="","",IF(B131="",A131,A131&amp;" — "&amp;B131))</f>
        <v/>
      </c>
    </row>
    <row r="132">
      <c r="A132" s="11" t="n"/>
      <c r="B132" s="11" t="n"/>
      <c r="C132" s="12">
        <f>IF(A132="","",IF(B132="",A132,A132&amp;" — "&amp;B132))</f>
        <v/>
      </c>
    </row>
    <row r="133">
      <c r="A133" s="11" t="n"/>
      <c r="B133" s="11" t="n"/>
      <c r="C133" s="12">
        <f>IF(A133="","",IF(B133="",A133,A133&amp;" — "&amp;B133))</f>
        <v/>
      </c>
    </row>
    <row r="134">
      <c r="A134" s="11" t="n"/>
      <c r="B134" s="11" t="n"/>
      <c r="C134" s="12">
        <f>IF(A134="","",IF(B134="",A134,A134&amp;" — "&amp;B134))</f>
        <v/>
      </c>
    </row>
    <row r="135">
      <c r="A135" s="11" t="n"/>
      <c r="B135" s="11" t="n"/>
      <c r="C135" s="12">
        <f>IF(A135="","",IF(B135="",A135,A135&amp;" — "&amp;B135))</f>
        <v/>
      </c>
    </row>
    <row r="136">
      <c r="A136" s="11" t="n"/>
      <c r="B136" s="11" t="n"/>
      <c r="C136" s="12">
        <f>IF(A136="","",IF(B136="",A136,A136&amp;" — "&amp;B136))</f>
        <v/>
      </c>
    </row>
    <row r="137">
      <c r="A137" s="11" t="n"/>
      <c r="B137" s="11" t="n"/>
      <c r="C137" s="12">
        <f>IF(A137="","",IF(B137="",A137,A137&amp;" — "&amp;B137))</f>
        <v/>
      </c>
    </row>
    <row r="138">
      <c r="A138" s="11" t="n"/>
      <c r="B138" s="11" t="n"/>
      <c r="C138" s="12">
        <f>IF(A138="","",IF(B138="",A138,A138&amp;" — "&amp;B138))</f>
        <v/>
      </c>
    </row>
    <row r="139">
      <c r="A139" s="11" t="n"/>
      <c r="B139" s="11" t="n"/>
      <c r="C139" s="12">
        <f>IF(A139="","",IF(B139="",A139,A139&amp;" — "&amp;B139))</f>
        <v/>
      </c>
    </row>
    <row r="140">
      <c r="A140" s="11" t="n"/>
      <c r="B140" s="11" t="n"/>
      <c r="C140" s="12">
        <f>IF(A140="","",IF(B140="",A140,A140&amp;" — "&amp;B140))</f>
        <v/>
      </c>
    </row>
    <row r="141">
      <c r="A141" s="11" t="n"/>
      <c r="B141" s="11" t="n"/>
      <c r="C141" s="12">
        <f>IF(A141="","",IF(B141="",A141,A141&amp;" — "&amp;B141))</f>
        <v/>
      </c>
    </row>
    <row r="142">
      <c r="A142" s="11" t="n"/>
      <c r="B142" s="11" t="n"/>
      <c r="C142" s="12">
        <f>IF(A142="","",IF(B142="",A142,A142&amp;" — "&amp;B142))</f>
        <v/>
      </c>
    </row>
    <row r="143">
      <c r="A143" s="11" t="n"/>
      <c r="B143" s="11" t="n"/>
      <c r="C143" s="12">
        <f>IF(A143="","",IF(B143="",A143,A143&amp;" — "&amp;B143))</f>
        <v/>
      </c>
    </row>
    <row r="144">
      <c r="A144" s="11" t="n"/>
      <c r="B144" s="11" t="n"/>
      <c r="C144" s="12">
        <f>IF(A144="","",IF(B144="",A144,A144&amp;" — "&amp;B144))</f>
        <v/>
      </c>
    </row>
    <row r="145">
      <c r="A145" s="11" t="n"/>
      <c r="B145" s="11" t="n"/>
      <c r="C145" s="12">
        <f>IF(A145="","",IF(B145="",A145,A145&amp;" — "&amp;B145))</f>
        <v/>
      </c>
    </row>
    <row r="146">
      <c r="A146" s="11" t="n"/>
      <c r="B146" s="11" t="n"/>
      <c r="C146" s="12">
        <f>IF(A146="","",IF(B146="",A146,A146&amp;" — "&amp;B146))</f>
        <v/>
      </c>
    </row>
    <row r="147">
      <c r="A147" s="11" t="n"/>
      <c r="B147" s="11" t="n"/>
      <c r="C147" s="12">
        <f>IF(A147="","",IF(B147="",A147,A147&amp;" — "&amp;B147))</f>
        <v/>
      </c>
    </row>
    <row r="148">
      <c r="A148" s="11" t="n"/>
      <c r="B148" s="11" t="n"/>
      <c r="C148" s="12">
        <f>IF(A148="","",IF(B148="",A148,A148&amp;" — "&amp;B148))</f>
        <v/>
      </c>
    </row>
    <row r="149">
      <c r="A149" s="11" t="n"/>
      <c r="B149" s="11" t="n"/>
      <c r="C149" s="12">
        <f>IF(A149="","",IF(B149="",A149,A149&amp;" — "&amp;B149))</f>
        <v/>
      </c>
    </row>
    <row r="150">
      <c r="A150" s="11" t="n"/>
      <c r="B150" s="11" t="n"/>
      <c r="C150" s="12">
        <f>IF(A150="","",IF(B150="",A150,A150&amp;" — "&amp;B150))</f>
        <v/>
      </c>
    </row>
    <row r="151">
      <c r="A151" s="11" t="n"/>
      <c r="B151" s="11" t="n"/>
      <c r="C151" s="12">
        <f>IF(A151="","",IF(B151="",A151,A151&amp;" — "&amp;B151))</f>
        <v/>
      </c>
    </row>
    <row r="152">
      <c r="A152" s="11" t="n"/>
      <c r="B152" s="11" t="n"/>
      <c r="C152" s="12">
        <f>IF(A152="","",IF(B152="",A152,A152&amp;" — "&amp;B152))</f>
        <v/>
      </c>
    </row>
    <row r="153">
      <c r="A153" s="11" t="n"/>
      <c r="B153" s="11" t="n"/>
      <c r="C153" s="12">
        <f>IF(A153="","",IF(B153="",A153,A153&amp;" — "&amp;B153))</f>
        <v/>
      </c>
    </row>
    <row r="154">
      <c r="A154" s="11" t="n"/>
      <c r="B154" s="11" t="n"/>
      <c r="C154" s="12">
        <f>IF(A154="","",IF(B154="",A154,A154&amp;" — "&amp;B154))</f>
        <v/>
      </c>
    </row>
    <row r="155">
      <c r="A155" s="11" t="n"/>
      <c r="B155" s="11" t="n"/>
      <c r="C155" s="12">
        <f>IF(A155="","",IF(B155="",A155,A155&amp;" — "&amp;B155))</f>
        <v/>
      </c>
    </row>
    <row r="156">
      <c r="A156" s="11" t="n"/>
      <c r="B156" s="11" t="n"/>
      <c r="C156" s="12">
        <f>IF(A156="","",IF(B156="",A156,A156&amp;" — "&amp;B156))</f>
        <v/>
      </c>
    </row>
    <row r="157">
      <c r="A157" s="11" t="n"/>
      <c r="B157" s="11" t="n"/>
      <c r="C157" s="12">
        <f>IF(A157="","",IF(B157="",A157,A157&amp;" — "&amp;B157))</f>
        <v/>
      </c>
    </row>
    <row r="158">
      <c r="A158" s="11" t="n"/>
      <c r="B158" s="11" t="n"/>
      <c r="C158" s="12">
        <f>IF(A158="","",IF(B158="",A158,A158&amp;" — "&amp;B158))</f>
        <v/>
      </c>
    </row>
    <row r="159">
      <c r="A159" s="11" t="n"/>
      <c r="B159" s="11" t="n"/>
      <c r="C159" s="12">
        <f>IF(A159="","",IF(B159="",A159,A159&amp;" — "&amp;B159))</f>
        <v/>
      </c>
    </row>
    <row r="160">
      <c r="A160" s="11" t="n"/>
      <c r="B160" s="11" t="n"/>
      <c r="C160" s="12">
        <f>IF(A160="","",IF(B160="",A160,A160&amp;" — "&amp;B160))</f>
        <v/>
      </c>
    </row>
    <row r="161">
      <c r="A161" s="11" t="n"/>
      <c r="B161" s="11" t="n"/>
      <c r="C161" s="12">
        <f>IF(A161="","",IF(B161="",A161,A161&amp;" — "&amp;B161))</f>
        <v/>
      </c>
    </row>
    <row r="162">
      <c r="A162" s="11" t="n"/>
      <c r="B162" s="11" t="n"/>
      <c r="C162" s="12">
        <f>IF(A162="","",IF(B162="",A162,A162&amp;" — "&amp;B162))</f>
        <v/>
      </c>
    </row>
    <row r="163">
      <c r="A163" s="11" t="n"/>
      <c r="B163" s="11" t="n"/>
      <c r="C163" s="12">
        <f>IF(A163="","",IF(B163="",A163,A163&amp;" — "&amp;B163))</f>
        <v/>
      </c>
    </row>
    <row r="164">
      <c r="A164" s="11" t="n"/>
      <c r="B164" s="11" t="n"/>
      <c r="C164" s="12">
        <f>IF(A164="","",IF(B164="",A164,A164&amp;" — "&amp;B164))</f>
        <v/>
      </c>
    </row>
    <row r="165">
      <c r="A165" s="11" t="n"/>
      <c r="B165" s="11" t="n"/>
      <c r="C165" s="12">
        <f>IF(A165="","",IF(B165="",A165,A165&amp;" — "&amp;B165))</f>
        <v/>
      </c>
    </row>
    <row r="166">
      <c r="A166" s="11" t="n"/>
      <c r="B166" s="11" t="n"/>
      <c r="C166" s="12">
        <f>IF(A166="","",IF(B166="",A166,A166&amp;" — "&amp;B166))</f>
        <v/>
      </c>
    </row>
    <row r="167">
      <c r="A167" s="11" t="n"/>
      <c r="B167" s="11" t="n"/>
      <c r="C167" s="12">
        <f>IF(A167="","",IF(B167="",A167,A167&amp;" — "&amp;B167))</f>
        <v/>
      </c>
    </row>
    <row r="168">
      <c r="A168" s="11" t="n"/>
      <c r="B168" s="11" t="n"/>
      <c r="C168" s="12">
        <f>IF(A168="","",IF(B168="",A168,A168&amp;" — "&amp;B168))</f>
        <v/>
      </c>
    </row>
    <row r="169">
      <c r="A169" s="11" t="n"/>
      <c r="B169" s="11" t="n"/>
      <c r="C169" s="12">
        <f>IF(A169="","",IF(B169="",A169,A169&amp;" — "&amp;B169))</f>
        <v/>
      </c>
    </row>
    <row r="170">
      <c r="A170" s="11" t="n"/>
      <c r="B170" s="11" t="n"/>
      <c r="C170" s="12">
        <f>IF(A170="","",IF(B170="",A170,A170&amp;" — "&amp;B170))</f>
        <v/>
      </c>
    </row>
    <row r="171">
      <c r="A171" s="11" t="n"/>
      <c r="B171" s="11" t="n"/>
      <c r="C171" s="12">
        <f>IF(A171="","",IF(B171="",A171,A171&amp;" — "&amp;B171))</f>
        <v/>
      </c>
    </row>
    <row r="172">
      <c r="A172" s="11" t="n"/>
      <c r="B172" s="11" t="n"/>
      <c r="C172" s="12">
        <f>IF(A172="","",IF(B172="",A172,A172&amp;" — "&amp;B172))</f>
        <v/>
      </c>
    </row>
    <row r="173">
      <c r="A173" s="11" t="n"/>
      <c r="B173" s="11" t="n"/>
      <c r="C173" s="12">
        <f>IF(A173="","",IF(B173="",A173,A173&amp;" — "&amp;B173))</f>
        <v/>
      </c>
    </row>
    <row r="174">
      <c r="A174" s="11" t="n"/>
      <c r="B174" s="11" t="n"/>
      <c r="C174" s="12">
        <f>IF(A174="","",IF(B174="",A174,A174&amp;" — "&amp;B174))</f>
        <v/>
      </c>
    </row>
    <row r="175">
      <c r="A175" s="11" t="n"/>
      <c r="B175" s="11" t="n"/>
      <c r="C175" s="12">
        <f>IF(A175="","",IF(B175="",A175,A175&amp;" — "&amp;B175))</f>
        <v/>
      </c>
    </row>
    <row r="176">
      <c r="A176" s="11" t="n"/>
      <c r="B176" s="11" t="n"/>
      <c r="C176" s="12">
        <f>IF(A176="","",IF(B176="",A176,A176&amp;" — "&amp;B176))</f>
        <v/>
      </c>
    </row>
    <row r="177">
      <c r="A177" s="11" t="n"/>
      <c r="B177" s="11" t="n"/>
      <c r="C177" s="12">
        <f>IF(A177="","",IF(B177="",A177,A177&amp;" — "&amp;B177))</f>
        <v/>
      </c>
    </row>
    <row r="178">
      <c r="A178" s="11" t="n"/>
      <c r="B178" s="11" t="n"/>
      <c r="C178" s="12">
        <f>IF(A178="","",IF(B178="",A178,A178&amp;" — "&amp;B178))</f>
        <v/>
      </c>
    </row>
    <row r="179">
      <c r="A179" s="11" t="n"/>
      <c r="B179" s="11" t="n"/>
      <c r="C179" s="12">
        <f>IF(A179="","",IF(B179="",A179,A179&amp;" — "&amp;B179))</f>
        <v/>
      </c>
    </row>
    <row r="180">
      <c r="A180" s="11" t="n"/>
      <c r="B180" s="11" t="n"/>
      <c r="C180" s="12">
        <f>IF(A180="","",IF(B180="",A180,A180&amp;" — "&amp;B180))</f>
        <v/>
      </c>
    </row>
    <row r="181">
      <c r="A181" s="11" t="n"/>
      <c r="B181" s="11" t="n"/>
      <c r="C181" s="12">
        <f>IF(A181="","",IF(B181="",A181,A181&amp;" — "&amp;B181))</f>
        <v/>
      </c>
    </row>
    <row r="182">
      <c r="A182" s="11" t="n"/>
      <c r="B182" s="11" t="n"/>
      <c r="C182" s="12">
        <f>IF(A182="","",IF(B182="",A182,A182&amp;" — "&amp;B182))</f>
        <v/>
      </c>
    </row>
    <row r="183">
      <c r="A183" s="11" t="n"/>
      <c r="B183" s="11" t="n"/>
      <c r="C183" s="12">
        <f>IF(A183="","",IF(B183="",A183,A183&amp;" — "&amp;B183))</f>
        <v/>
      </c>
    </row>
    <row r="184">
      <c r="A184" s="11" t="n"/>
      <c r="B184" s="11" t="n"/>
      <c r="C184" s="12">
        <f>IF(A184="","",IF(B184="",A184,A184&amp;" — "&amp;B184))</f>
        <v/>
      </c>
    </row>
    <row r="185">
      <c r="A185" s="11" t="n"/>
      <c r="B185" s="11" t="n"/>
      <c r="C185" s="12">
        <f>IF(A185="","",IF(B185="",A185,A185&amp;" — "&amp;B185))</f>
        <v/>
      </c>
    </row>
    <row r="186">
      <c r="A186" s="11" t="n"/>
      <c r="B186" s="11" t="n"/>
      <c r="C186" s="12">
        <f>IF(A186="","",IF(B186="",A186,A186&amp;" — "&amp;B186))</f>
        <v/>
      </c>
    </row>
    <row r="187">
      <c r="A187" s="11" t="n"/>
      <c r="B187" s="11" t="n"/>
      <c r="C187" s="12">
        <f>IF(A187="","",IF(B187="",A187,A187&amp;" — "&amp;B187))</f>
        <v/>
      </c>
    </row>
    <row r="188">
      <c r="A188" s="11" t="n"/>
      <c r="B188" s="11" t="n"/>
      <c r="C188" s="12">
        <f>IF(A188="","",IF(B188="",A188,A188&amp;" — "&amp;B188))</f>
        <v/>
      </c>
    </row>
    <row r="189">
      <c r="A189" s="11" t="n"/>
      <c r="B189" s="11" t="n"/>
      <c r="C189" s="12">
        <f>IF(A189="","",IF(B189="",A189,A189&amp;" — "&amp;B189))</f>
        <v/>
      </c>
    </row>
    <row r="190">
      <c r="A190" s="11" t="n"/>
      <c r="B190" s="11" t="n"/>
      <c r="C190" s="12">
        <f>IF(A190="","",IF(B190="",A190,A190&amp;" — "&amp;B190))</f>
        <v/>
      </c>
    </row>
    <row r="191">
      <c r="A191" s="11" t="n"/>
      <c r="B191" s="11" t="n"/>
      <c r="C191" s="12">
        <f>IF(A191="","",IF(B191="",A191,A191&amp;" — "&amp;B191))</f>
        <v/>
      </c>
    </row>
    <row r="192">
      <c r="A192" s="11" t="n"/>
      <c r="B192" s="11" t="n"/>
      <c r="C192" s="12">
        <f>IF(A192="","",IF(B192="",A192,A192&amp;" — "&amp;B192))</f>
        <v/>
      </c>
    </row>
    <row r="193">
      <c r="A193" s="11" t="n"/>
      <c r="B193" s="11" t="n"/>
      <c r="C193" s="12">
        <f>IF(A193="","",IF(B193="",A193,A193&amp;" — "&amp;B193))</f>
        <v/>
      </c>
    </row>
    <row r="194">
      <c r="A194" s="11" t="n"/>
      <c r="B194" s="11" t="n"/>
      <c r="C194" s="12">
        <f>IF(A194="","",IF(B194="",A194,A194&amp;" — "&amp;B194))</f>
        <v/>
      </c>
    </row>
    <row r="195">
      <c r="A195" s="11" t="n"/>
      <c r="B195" s="11" t="n"/>
      <c r="C195" s="12">
        <f>IF(A195="","",IF(B195="",A195,A195&amp;" — "&amp;B195))</f>
        <v/>
      </c>
    </row>
    <row r="196">
      <c r="A196" s="11" t="n"/>
      <c r="B196" s="11" t="n"/>
      <c r="C196" s="12">
        <f>IF(A196="","",IF(B196="",A196,A196&amp;" — "&amp;B196))</f>
        <v/>
      </c>
    </row>
    <row r="197">
      <c r="A197" s="11" t="n"/>
      <c r="B197" s="11" t="n"/>
      <c r="C197" s="12">
        <f>IF(A197="","",IF(B197="",A197,A197&amp;" — "&amp;B197))</f>
        <v/>
      </c>
    </row>
    <row r="198">
      <c r="A198" s="11" t="n"/>
      <c r="B198" s="11" t="n"/>
      <c r="C198" s="12">
        <f>IF(A198="","",IF(B198="",A198,A198&amp;" — "&amp;B198))</f>
        <v/>
      </c>
    </row>
    <row r="199">
      <c r="A199" s="11" t="n"/>
      <c r="B199" s="11" t="n"/>
      <c r="C199" s="12">
        <f>IF(A199="","",IF(B199="",A199,A199&amp;" — "&amp;B199))</f>
        <v/>
      </c>
    </row>
    <row r="200">
      <c r="A200" s="11" t="n"/>
      <c r="B200" s="11" t="n"/>
      <c r="C200" s="12">
        <f>IF(A200="","",IF(B200="",A200,A200&amp;" — "&amp;B200))</f>
        <v/>
      </c>
    </row>
    <row r="201">
      <c r="A201" s="11" t="n"/>
      <c r="B201" s="11" t="n"/>
      <c r="C201" s="12">
        <f>IF(A201="","",IF(B201="",A201,A201&amp;" — "&amp;B201))</f>
        <v/>
      </c>
    </row>
    <row r="202">
      <c r="A202" s="11" t="n"/>
      <c r="B202" s="11" t="n"/>
      <c r="C202" s="12">
        <f>IF(A202="","",IF(B202="",A202,A202&amp;" — "&amp;B202))</f>
        <v/>
      </c>
    </row>
    <row r="203">
      <c r="A203" s="11" t="n"/>
      <c r="B203" s="11" t="n"/>
      <c r="C203" s="12">
        <f>IF(A203="","",IF(B203="",A203,A203&amp;" — "&amp;B203))</f>
        <v/>
      </c>
    </row>
    <row r="204">
      <c r="A204" s="11" t="n"/>
      <c r="B204" s="11" t="n"/>
      <c r="C204" s="12">
        <f>IF(A204="","",IF(B204="",A204,A204&amp;" — "&amp;B204))</f>
        <v/>
      </c>
    </row>
    <row r="205">
      <c r="A205" s="11" t="n"/>
      <c r="B205" s="11" t="n"/>
      <c r="C205" s="12">
        <f>IF(A205="","",IF(B205="",A205,A205&amp;" — "&amp;B205))</f>
        <v/>
      </c>
    </row>
    <row r="206">
      <c r="A206" s="11" t="n"/>
      <c r="B206" s="11" t="n"/>
      <c r="C206" s="12">
        <f>IF(A206="","",IF(B206="",A206,A206&amp;" — "&amp;B206))</f>
        <v/>
      </c>
    </row>
    <row r="207">
      <c r="A207" s="11" t="n"/>
      <c r="B207" s="11" t="n"/>
      <c r="C207" s="12">
        <f>IF(A207="","",IF(B207="",A207,A207&amp;" — "&amp;B207))</f>
        <v/>
      </c>
    </row>
    <row r="208">
      <c r="A208" s="11" t="n"/>
      <c r="B208" s="11" t="n"/>
      <c r="C208" s="12">
        <f>IF(A208="","",IF(B208="",A208,A208&amp;" — "&amp;B208))</f>
        <v/>
      </c>
    </row>
  </sheetData>
  <mergeCells count="1">
    <mergeCell ref="E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Склад табака — учёт по накладным</t>
        </is>
      </c>
    </row>
    <row r="3">
      <c r="A3" s="13" t="inlineStr">
        <is>
          <t>Как пользоваться</t>
        </is>
      </c>
    </row>
    <row r="4">
      <c r="A4" s="14" t="inlineStr">
        <is>
          <t>1. Лист «Справочник» — бренды уже заполнены. Вкусы добавляйте в столбец B напротив бренда (можно несколько строк с одним брендом).</t>
        </is>
      </c>
    </row>
    <row r="5">
      <c r="A5" s="14" t="inlineStr">
        <is>
          <t>2. Названия фасовок меняются в ячейках B4 и B5 (сейчас «50 г» и «250 г»).</t>
        </is>
      </c>
    </row>
    <row r="6">
      <c r="A6" s="14" t="inlineStr">
        <is>
          <t>3. Лист «Накладные» — вносите каждую позицию из накладной: бренд + вкус + фасовка + количество.</t>
        </is>
      </c>
    </row>
    <row r="7">
      <c r="A7" s="14" t="inlineStr">
        <is>
          <t>4. Операция: «Приход» — товар пришёл, «Расход» — товар ушёл.</t>
        </is>
      </c>
    </row>
    <row r="8">
      <c r="A8" s="14" t="inlineStr">
        <is>
          <t>5. Лист «Остатки» считает остатки автоматически. Пока вкус не указан в справочнике — остаток считается по бренду.</t>
        </is>
      </c>
    </row>
    <row r="9">
      <c r="A9" s="14" t="inlineStr">
        <is>
          <t>6. Загрузите файл в Google Таблицы: Файл → Импорт, затем дайте нужным людям доступ «Редактор».</t>
        </is>
      </c>
    </row>
  </sheetData>
  <mergeCells count="7">
    <mergeCell ref="A5:F5"/>
    <mergeCell ref="A9:F9"/>
    <mergeCell ref="A8:F8"/>
    <mergeCell ref="A6:F6"/>
    <mergeCell ref="A4:F4"/>
    <mergeCell ref="A1:B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2026-10-04T09:18:04Z</dcterms:created>
  <dcterms:modified xsi:type="dcterms:W3CDTF">2026-10-04T09:18:04Z</dcterms:modified>
</cp:coreProperties>
</file>